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957fe51e3fd944c4"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C7D7DFBA-A3E8-793F-BDBE-722D05640CCE}"/>
  <workbookPr filterPrivacy="1" codeName="ThisWorkbook" defaultThemeVersion="124226"/>
  <bookViews>
    <workbookView xWindow="8310" yWindow="570" windowWidth="5805" windowHeight="7560" activeTab="3"/>
  </bookViews>
  <sheets>
    <sheet name="Cover" sheetId="11" r:id="rId1"/>
    <sheet name="Rev. History" sheetId="4" r:id="rId2"/>
    <sheet name="User Instructions" sheetId="5" r:id="rId3"/>
    <sheet name="DSI and MDP registers" sheetId="6" r:id="rId4"/>
    <sheet name="DSI PHY timing setting" sheetId="7" r:id="rId5"/>
    <sheet name="DSI PHY 2.0.0 timing setting" sheetId="9" r:id="rId6"/>
    <sheet name="Exhibit 1" sheetId="14" r:id="rId7"/>
  </sheets>
  <definedNames>
    <definedName name="PHY_MAJOR_VERSION">'DSI and MDP registers'!$C$25</definedName>
    <definedName name="_xlnm.Print_Area" localSheetId="0">Cover!$A$1:$A$10</definedName>
    <definedName name="_xlnm.Print_Area" localSheetId="3">'DSI and MDP registers'!$A$1:$F$105</definedName>
    <definedName name="_xlnm.Print_Area" localSheetId="5">'DSI PHY 2.0.0 timing setting'!$A$1:$K$63</definedName>
    <definedName name="_xlnm.Print_Area" localSheetId="4">'DSI PHY timing setting'!$A$1:$J$51</definedName>
    <definedName name="_xlnm.Print_Area" localSheetId="2">'User Instructions'!$A$1:$R$37</definedName>
    <definedName name="strQCTDocumentName">#REF!</definedName>
    <definedName name="vQCTAddress">#REF!</definedName>
    <definedName name="vQCTCopyright">#REF!</definedName>
    <definedName name="vQCTCopyrightHolder">#REF!</definedName>
    <definedName name="vQCTDistribution1">#REF!</definedName>
    <definedName name="vQCTDistribution2">#REF!</definedName>
    <definedName name="vQCTDistribution3">#REF!</definedName>
    <definedName name="vQCTDistribution4">#REF!</definedName>
    <definedName name="vQCTDocumentDate">#REF!</definedName>
    <definedName name="vQCTDocumentDCN">#REF!</definedName>
    <definedName name="vQCTDocumentName">#REF!</definedName>
    <definedName name="vQCTDocumentType">#REF!</definedName>
    <definedName name="vQCTLogoHolder">#REF!</definedName>
    <definedName name="vQCTStmtTitle">#REF!</definedName>
    <definedName name="vQCTSupportInfo">#REF!</definedName>
    <definedName name="vQTICopyrightHolder">#REF!</definedName>
    <definedName name="vQTIDistribution0.5">#REF!</definedName>
    <definedName name="vQTIEntityName">#REF!</definedName>
    <definedName name="vRevisionDate">'Rev. History'!$D$4</definedName>
  </definedNames>
  <calcPr calcId="125725"/>
</workbook>
</file>

<file path=xl/calcChain.xml><?xml version="1.0" encoding="utf-8"?>
<calcChain xmlns="http://schemas.openxmlformats.org/spreadsheetml/2006/main">
  <c r="G11" i="7"/>
  <c r="F11"/>
  <c r="G10"/>
  <c r="C25" i="6" l="1"/>
  <c r="A49" i="9" l="1"/>
  <c r="B91" i="6" l="1"/>
  <c r="A48" i="9"/>
  <c r="B90" i="6" l="1"/>
  <c r="B72"/>
  <c r="B89"/>
  <c r="B88"/>
  <c r="B87"/>
  <c r="B86"/>
  <c r="B85"/>
  <c r="B84"/>
  <c r="B83"/>
  <c r="B82"/>
  <c r="B81"/>
  <c r="B80"/>
  <c r="B79"/>
  <c r="B78"/>
  <c r="B77"/>
  <c r="B76"/>
  <c r="C75"/>
  <c r="B75"/>
  <c r="B46" i="9" l="1"/>
  <c r="C88" i="6" s="1"/>
  <c r="B47" i="9"/>
  <c r="C89" i="6" s="1"/>
  <c r="B4" i="9"/>
  <c r="H22" s="1"/>
  <c r="B6" l="1"/>
  <c r="H20"/>
  <c r="H21"/>
  <c r="B71" i="6"/>
  <c r="C22" i="9" l="1"/>
  <c r="C21"/>
  <c r="C20"/>
  <c r="B22"/>
  <c r="F22" s="1"/>
  <c r="B21"/>
  <c r="F21" s="1"/>
  <c r="B20"/>
  <c r="F20" s="1"/>
  <c r="C7" i="6" l="1"/>
  <c r="C6"/>
  <c r="B39" i="7" l="1"/>
  <c r="B38"/>
  <c r="B4"/>
  <c r="H20" s="1"/>
  <c r="C13" i="6"/>
  <c r="C18"/>
  <c r="C33"/>
  <c r="C34"/>
  <c r="C44"/>
  <c r="C45"/>
  <c r="C46"/>
  <c r="C51"/>
  <c r="C67" s="1"/>
  <c r="C55"/>
  <c r="C69" s="1"/>
  <c r="C56"/>
  <c r="C57"/>
  <c r="C58"/>
  <c r="C59"/>
  <c r="C60"/>
  <c r="C61"/>
  <c r="C68"/>
  <c r="C65" l="1"/>
  <c r="C66"/>
  <c r="C35"/>
  <c r="C101" s="1"/>
  <c r="C64"/>
  <c r="B6" i="7"/>
  <c r="C40" i="6"/>
  <c r="C94"/>
  <c r="B3" i="9" s="1"/>
  <c r="C39" i="6"/>
  <c r="C18" i="7"/>
  <c r="H18"/>
  <c r="H19"/>
  <c r="C43" i="6"/>
  <c r="C42"/>
  <c r="C38"/>
  <c r="C41"/>
  <c r="F28" i="9" l="1"/>
  <c r="G28" s="1"/>
  <c r="B48" s="1"/>
  <c r="C90" i="6" s="1"/>
  <c r="F29" i="9"/>
  <c r="G29" s="1"/>
  <c r="B49" s="1"/>
  <c r="C91" i="6" s="1"/>
  <c r="C19" i="7"/>
  <c r="C20"/>
  <c r="B5" i="9"/>
  <c r="B19" i="7"/>
  <c r="F19" s="1"/>
  <c r="B18"/>
  <c r="F18" s="1"/>
  <c r="B20"/>
  <c r="F20" s="1"/>
  <c r="C95" i="6"/>
  <c r="C96" s="1"/>
  <c r="C97" s="1"/>
  <c r="B3" i="7"/>
  <c r="E10" i="9" l="1"/>
  <c r="D10"/>
  <c r="F17"/>
  <c r="G17" s="1"/>
  <c r="F27"/>
  <c r="G27" s="1"/>
  <c r="D13"/>
  <c r="D19"/>
  <c r="F19" s="1"/>
  <c r="G19" s="1"/>
  <c r="C14"/>
  <c r="E14" s="1"/>
  <c r="C24"/>
  <c r="C13" s="1"/>
  <c r="E13" s="1"/>
  <c r="B14"/>
  <c r="D14" s="1"/>
  <c r="B26"/>
  <c r="B25"/>
  <c r="D25" s="1"/>
  <c r="C23"/>
  <c r="C16" s="1"/>
  <c r="E16" s="1"/>
  <c r="B16"/>
  <c r="D16" s="1"/>
  <c r="F51" i="7"/>
  <c r="B5"/>
  <c r="F49"/>
  <c r="C103" i="6"/>
  <c r="C105"/>
  <c r="C102"/>
  <c r="C104"/>
  <c r="F14" i="9" l="1"/>
  <c r="B39"/>
  <c r="G18"/>
  <c r="H17" s="1"/>
  <c r="I17" s="1"/>
  <c r="B44"/>
  <c r="C86" i="6" s="1"/>
  <c r="F13" i="9"/>
  <c r="G13" s="1"/>
  <c r="H13" s="1"/>
  <c r="I13" s="1"/>
  <c r="B40"/>
  <c r="B34"/>
  <c r="H19"/>
  <c r="I19" s="1"/>
  <c r="F16"/>
  <c r="G16" s="1"/>
  <c r="H16" s="1"/>
  <c r="I16" s="1"/>
  <c r="B23" i="7"/>
  <c r="F16"/>
  <c r="B24"/>
  <c r="B13"/>
  <c r="D13" s="1"/>
  <c r="C22"/>
  <c r="C12" s="1"/>
  <c r="E12" s="1"/>
  <c r="C13"/>
  <c r="E13" s="1"/>
  <c r="D17"/>
  <c r="F17" s="1"/>
  <c r="G17" s="1"/>
  <c r="B33" s="1"/>
  <c r="C21"/>
  <c r="C15" s="1"/>
  <c r="E15" s="1"/>
  <c r="D12"/>
  <c r="D10"/>
  <c r="B15"/>
  <c r="D15" s="1"/>
  <c r="E10"/>
  <c r="G11" i="9" l="1"/>
  <c r="F10"/>
  <c r="G10" s="1"/>
  <c r="G14"/>
  <c r="H14" s="1"/>
  <c r="B45"/>
  <c r="C87" i="6" s="1"/>
  <c r="F10" i="7"/>
  <c r="F25" i="9"/>
  <c r="G25" s="1"/>
  <c r="H25" s="1"/>
  <c r="B38"/>
  <c r="C80" i="6" s="1"/>
  <c r="H24" i="9"/>
  <c r="H23"/>
  <c r="B43"/>
  <c r="C85" i="6" s="1"/>
  <c r="F13" i="7"/>
  <c r="G13" s="1"/>
  <c r="B35" s="1"/>
  <c r="C82" i="6" s="1"/>
  <c r="H17" i="7"/>
  <c r="D23" s="1"/>
  <c r="F23" s="1"/>
  <c r="G23" s="1"/>
  <c r="H23" s="1"/>
  <c r="F15"/>
  <c r="G15" s="1"/>
  <c r="G16"/>
  <c r="F12"/>
  <c r="G12" s="1"/>
  <c r="H10" i="9" l="1"/>
  <c r="B37"/>
  <c r="C79" i="6" s="1"/>
  <c r="H27" i="9"/>
  <c r="I27" s="1"/>
  <c r="B15"/>
  <c r="D15" s="1"/>
  <c r="I14"/>
  <c r="B42"/>
  <c r="B36"/>
  <c r="H13" i="7"/>
  <c r="B14" s="1"/>
  <c r="D14" s="1"/>
  <c r="F14" s="1"/>
  <c r="G14" s="1"/>
  <c r="H14" s="1"/>
  <c r="B36"/>
  <c r="H15"/>
  <c r="H21" s="1"/>
  <c r="B30"/>
  <c r="H12"/>
  <c r="H22" s="1"/>
  <c r="B37"/>
  <c r="H16"/>
  <c r="H10" l="1"/>
  <c r="B11" s="1"/>
  <c r="D11" s="1"/>
  <c r="E11" s="1"/>
  <c r="B31"/>
  <c r="C78" i="6"/>
  <c r="F15" i="9"/>
  <c r="G15" s="1"/>
  <c r="H15" s="1"/>
  <c r="C84" i="6"/>
  <c r="I10" i="9"/>
  <c r="B12"/>
  <c r="B34" i="7"/>
  <c r="C81" i="6" s="1"/>
  <c r="H11" i="7" l="1"/>
  <c r="D24" s="1"/>
  <c r="B43" s="1"/>
  <c r="B32"/>
  <c r="G4"/>
  <c r="I15" i="9"/>
  <c r="B41"/>
  <c r="C83" i="6" s="1"/>
  <c r="D12" i="9"/>
  <c r="E12" s="1"/>
  <c r="B29" i="7" l="1"/>
  <c r="C76" i="6" s="1"/>
  <c r="F12" i="9"/>
  <c r="G12" s="1"/>
  <c r="F24" i="7"/>
  <c r="G24" s="1"/>
  <c r="B42" s="1"/>
  <c r="B35" i="9" l="1"/>
  <c r="C77" i="6" s="1"/>
  <c r="H12" i="9"/>
  <c r="D26" s="1"/>
  <c r="F26" s="1"/>
  <c r="G26" s="1"/>
  <c r="H24" i="7"/>
  <c r="H25" s="1"/>
  <c r="I12" i="9" l="1"/>
  <c r="B53"/>
  <c r="C72" i="6" s="1"/>
  <c r="H26" i="9"/>
  <c r="H30" s="1"/>
  <c r="B52"/>
  <c r="C71" i="6" s="1"/>
</calcChain>
</file>

<file path=xl/sharedStrings.xml><?xml version="1.0" encoding="utf-8"?>
<sst xmlns="http://schemas.openxmlformats.org/spreadsheetml/2006/main" count="295" uniqueCount="215">
  <si>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</si>
  <si>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</si>
  <si>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</si>
  <si>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</si>
  <si>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</si>
  <si>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</si>
  <si>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</si>
  <si>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</si>
  <si>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</si>
  <si>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</si>
  <si>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</si>
  <si>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</si>
  <si>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</si>
  <si>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</si>
  <si>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</si>
  <si>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</si>
  <si>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</si>
  <si>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</si>
  <si>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</si>
  <si>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</si>
  <si>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</si>
  <si>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</si>
  <si>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</si>
  <si>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</si>
  <si>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</si>
  <si>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</si>
  <si>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</si>
  <si>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</si>
  <si>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</si>
  <si>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</si>
  <si>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</si>
  <si>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</si>
  <si>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</si>
  <si>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</si>
  <si>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</si>
  <si>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</si>
  <si>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</si>
  <si>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</si>
  <si>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</si>
  <si>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</si>
  <si>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</si>
  <si>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</si>
  <si>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</si>
  <si>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</si>
  <si>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</si>
  <si>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</si>
  <si>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</si>
  <si>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</si>
  <si>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</si>
  <si>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</si>
  <si>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</si>
  <si>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</si>
  <si>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</si>
  <si>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</si>
  <si>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</si>
  <si>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</si>
  <si>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</si>
  <si>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</si>
  <si>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</si>
  <si>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</si>
  <si>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</si>
  <si>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</si>
  <si>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</si>
  <si>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</si>
  <si>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</si>
  <si>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Vert. Back Porch + Vsync pulse width</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</si>
  <si>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</si>
  <si>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</si>
  <si>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</si>
  <si>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</si>
  <si>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</si>
  <si>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</si>
  <si>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</si>
  <si>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</si>
  <si>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</si>
  <si>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</si>
  <si>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</si>
  <si>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</si>
  <si>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</si>
  <si>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</si>
  <si>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</si>
  <si>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</si>
  <si>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</si>
  <si>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</si>
  <si>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</si>
  <si>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</si>
  <si>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</si>
  <si>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</si>
  <si>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</si>
  <si>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</si>
  <si>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</si>
  <si>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</si>
  <si>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</si>
  <si>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</si>
  <si>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</si>
  <si>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</si>
  <si>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</si>
  <si>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</si>
  <si>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</si>
  <si>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</si>
  <si>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</si>
  <si>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</si>
  <si>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Initial release</t>
  </si>
  <si>
    <t>A</t>
  </si>
  <si>
    <t>Description</t>
  </si>
  <si>
    <t>Date</t>
  </si>
  <si>
    <t>Revision</t>
  </si>
  <si>
    <t>Revision history</t>
  </si>
  <si>
    <t>Instructions</t>
  </si>
  <si>
    <t>DSI and MDP registers</t>
  </si>
  <si>
    <t>DSI Timing Parameters</t>
  </si>
  <si>
    <t>User Interactive Spreadsheet</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</si>
  <si>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</si>
  <si>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</si>
  <si>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</si>
  <si>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</si>
  <si>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</si>
  <si>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</si>
  <si>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</si>
  <si>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</si>
  <si>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</si>
  <si>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</si>
  <si>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</si>
  <si>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</si>
  <si>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</si>
  <si>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</si>
  <si>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</si>
  <si>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</si>
  <si>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</si>
  <si>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</si>
  <si>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</si>
  <si>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</si>
  <si>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</si>
  <si>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</si>
  <si>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</si>
  <si>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</si>
  <si>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Tool Requirments</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</si>
  <si>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</si>
  <si>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</si>
  <si>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</si>
  <si>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</si>
  <si>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</si>
  <si>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</si>
  <si>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</si>
  <si>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</si>
  <si>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</si>
  <si>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</si>
  <si>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</si>
  <si>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</si>
  <si>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</si>
  <si>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</si>
  <si>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µs</t>
  </si>
  <si>
    <t>Use Excel 2010 for proper macro operation.</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</si>
  <si>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</si>
  <si>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</si>
  <si>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</si>
  <si>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</si>
  <si>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</si>
  <si>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</si>
  <si>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</si>
  <si>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</si>
  <si>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</si>
  <si>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</si>
  <si>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</si>
  <si>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</si>
  <si>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</si>
  <si>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</si>
  <si>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</si>
  <si>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</si>
  <si>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</si>
  <si>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</si>
  <si>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</si>
  <si>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</si>
  <si>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</si>
  <si>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</si>
  <si>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</si>
  <si>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</si>
  <si>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</si>
  <si>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</si>
  <si>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</si>
  <si>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</si>
  <si>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</si>
  <si>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</si>
  <si>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</si>
  <si>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</si>
  <si>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</si>
  <si>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</si>
  <si>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</si>
  <si>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8x74</t>
  </si>
  <si>
    <t>8x84</t>
  </si>
  <si>
    <t>8x94</t>
  </si>
  <si>
    <t>8x92</t>
  </si>
  <si>
    <t>8x09</t>
  </si>
  <si>
    <t>8x36</t>
  </si>
  <si>
    <t>8x39</t>
  </si>
  <si>
    <t>8x96</t>
  </si>
  <si>
    <t>2.   Click the "DSI Timing Program" tab from the ribbon if not already active.</t>
  </si>
  <si>
    <t>3.   Click the "Check" button from the "DSI Timining Program" ribbon.</t>
  </si>
  <si>
    <t xml:space="preserve">DSI PHY x  timing settings </t>
  </si>
  <si>
    <t>2.   Specify desired data rate (entered manually in cell B3 on selected "DSI PHY x Timing Settings" worksheet</t>
  </si>
  <si>
    <t>3.   Click "Reset" from the "DSI Timing Program" ribbon</t>
  </si>
  <si>
    <t>4.   Click "Validate" to validate T_CLK_ZERO.  Cell G4 on the "DSI PHY Timing Settings" worksheet should state "VALID" after performing this step.</t>
  </si>
  <si>
    <t>% from min Tclk-zero =</t>
  </si>
  <si>
    <t xml:space="preserve">1.   Enter the DSI video prameters on the "DSI and MDP Registers" worksheet, select chipset from Cell C24( it picks up PHY timing and copy it to  this main tab). </t>
  </si>
  <si>
    <t>8x52</t>
  </si>
  <si>
    <t>8x56</t>
  </si>
  <si>
    <t>8x29</t>
  </si>
  <si>
    <t xml:space="preserve">1.   Use "DSI PHY timing setting" worksheet if chips are in range of Cell B3 to  B17 on this tab, use "DSI PHY 2.0.0 timing setting" for 8x96. </t>
  </si>
  <si>
    <t>Calculator values are approximate and are only considered estimates.  If the user chooses, measuring the PHY output is the best way to determine the 
actual PHY timing parameters.</t>
  </si>
  <si>
    <t xml:space="preserve">
Qualcomm Technologies, Inc.</t>
  </si>
  <si>
    <t>© 2015 Qualcomm Technologies, Inc. All rights reserved.</t>
  </si>
  <si>
    <t>Questions or comments: https://www.96boards.org/DragonBoard410c/forum
Qualcomm Technologies, Inc.
5775 Morehouse Drive
San Diego, CA 92121
U.S.A.</t>
  </si>
  <si>
    <t>Qualcomm Snapdragon is a product of Qualcomm Technologies, Inc. Other Qualcomm products referenced herein are products of Qualcomm Technologies, Inc. or its other subsidiaries.
DragonBoard, Qualcomm and Snapdragon are trademarks of Qualcomm Incorporated, registered in the United States and other countries. All Qualcomm Incorporated trademarks are used with permission. Other product and brand names may be trademarks or registered trademarks of their respective owners. 
This technical data may be subject to U.S. and international export, re-export, or transfer (“export”) laws. Diversion contrary to U.S. and international law is strictly prohibited.
Use of this document is subject to the license set forth in Exhibit 1.</t>
  </si>
  <si>
    <r>
      <rPr>
        <b/>
        <sz val="6"/>
        <color theme="1"/>
        <rFont val="Courier New"/>
        <family val="3"/>
      </rPr>
      <t xml:space="preserve">EXHIBIT 1
PLEASE READ THIS LICENSE AGREEMENT (“AGREEMENT”) CAREFULLY.  THIS AGREEMENT IS A BINDING LEGAL AGREEMENT ENTERED INTO BY AND BETWEEN YOU (OR IF YOU ARE ENTERING INTO THIS AGREEMENT ON BEHALF OF AN ENTITY, THEN THE ENTITY THAT YOU REPRESENT) AND QUALCOMM TECHNOLOGIES, INC. (“QTI” “WE” “OUR” OR “US”).  THIS IS THE AGREEMENT THAT APPLIES TO YOUR USE OF THE DESIGNATED AND/OR ATTACHED DOCUMENTATION AND ANY UPDATES OR IMPROVEMENTS THEREOF (COLLECTIVELY, “MATERIALS”).  BY USING OR COMPLETING THE INSTALLATION OF THE MATERIALS, YOU ARE ACCEPTING THIS AGREEMENT AND YOU AGREE TO BE BOUND BY ITS TERMS AND CONDITIONS.  IF YOU DO NOT AGREE TO THESE TERMS, QTI IS UNWILLING TO AND DOES NOT LICENSE THE MATERIALS TO YOU. IF YOU DO NOT AGREE TO THESE TERMS YOU MUST DISCONTINUE AND YOU MAY NOT USE THE MATERIALS OR RETAIN ANY COPIES OF THE MATERIALS. ANY USE OR POSSESSION OF THE MATERIALS BY YOU IS SUBJECT TO THE TERMS AND CONDITIONS SET FORTH IN THIS AGREEMENT.
 </t>
    </r>
    <r>
      <rPr>
        <b/>
        <u/>
        <sz val="6"/>
        <color theme="1"/>
        <rFont val="Courier New"/>
        <family val="3"/>
      </rPr>
      <t>1.1 License.</t>
    </r>
    <r>
      <rPr>
        <b/>
        <sz val="6"/>
        <color theme="1"/>
        <rFont val="Courier New"/>
        <family val="3"/>
      </rPr>
      <t xml:space="preserve">  </t>
    </r>
    <r>
      <rPr>
        <sz val="6"/>
        <color theme="1"/>
        <rFont val="Courier New"/>
        <family val="3"/>
      </rPr>
      <t>Subject to the terms and conditions of this Agreement, including, without limitation, the restrictions, conditions, limitations and exclusions set forth in this Agreement, Qualcomm Technologies, Inc. (“QTI”) hereby grants to you a nonexclusive, limited license under QTI’s copyrights to use the attached Materials; and to reproduce and redistribute a reasonable number of copies of the Materials.  You may not use Qualcomm Technologies or its affiliates or subsidiaries name, logo or trademarks; and copyright, trademark, patent and any other notices that appear on the Materials may not be removed or obscured.  QTI shall be free to use suggestions, feedback or other information received from You, without obligation of any kind to You.  QTI may immediately terminate this Agreement upon your breach.  Upon termination of this Agreement, Sections 1.2-4 shall survive.</t>
    </r>
    <r>
      <rPr>
        <b/>
        <sz val="6"/>
        <color theme="1"/>
        <rFont val="Courier New"/>
        <family val="3"/>
      </rPr>
      <t xml:space="preserve">
 </t>
    </r>
    <r>
      <rPr>
        <b/>
        <u/>
        <sz val="6"/>
        <color theme="1"/>
        <rFont val="Courier New"/>
        <family val="3"/>
      </rPr>
      <t>1.2 Indemnification.</t>
    </r>
    <r>
      <rPr>
        <b/>
        <sz val="6"/>
        <color theme="1"/>
        <rFont val="Courier New"/>
        <family val="3"/>
      </rPr>
      <t xml:space="preserve">  </t>
    </r>
    <r>
      <rPr>
        <sz val="6"/>
        <color theme="1"/>
        <rFont val="Courier New"/>
        <family val="3"/>
      </rPr>
      <t>You agree to indemnify and hold harmless QTI and its officers, directors, employees and successors and assigns against any and all third party claims, demands, causes of action, losses, liabilities, damages, costs and expenses, incurred by QTI (including but not limited to costs of defense, investigation and reasonable attorney’s fees) arising out of, resulting from or related to: (i) any breach of this Agreement by You; and (ii) your acts, omissions, products and services.  If requested by QTI, You agree to defend QTI in connection with any third party claims, demands, or causes of action resulting from, arising out of or in connection with any of the foregoing.</t>
    </r>
    <r>
      <rPr>
        <b/>
        <sz val="6"/>
        <color theme="1"/>
        <rFont val="Courier New"/>
        <family val="3"/>
      </rPr>
      <t xml:space="preserve">
</t>
    </r>
  </si>
  <si>
    <r>
      <t xml:space="preserve"> </t>
    </r>
    <r>
      <rPr>
        <b/>
        <u/>
        <sz val="6"/>
        <color theme="1"/>
        <rFont val="Courier New"/>
        <family val="3"/>
      </rPr>
      <t>1.3 Ownership.</t>
    </r>
    <r>
      <rPr>
        <b/>
        <sz val="6"/>
        <color theme="1"/>
        <rFont val="Courier New"/>
        <family val="3"/>
      </rPr>
      <t xml:space="preserve">   </t>
    </r>
    <r>
      <rPr>
        <sz val="6"/>
        <color theme="1"/>
        <rFont val="Courier New"/>
        <family val="3"/>
      </rPr>
      <t xml:space="preserve">QTI (or its licensors) shall retain title and all ownership rights in and to the Materials and all copies thereof, and nothing herein shall be deemed to grant any right to You under any of QTI's or its affiliates’ patents.  You shall not subject the Materials to any third party license terms (e.g., open source license terms).  You shall not use the Materials for the purpose of identifying or providing evidence to support any potential patent infringement claim against QTI, its affiliates, or any of QTI’s or QTI’s affiliates’ suppliers and/or direct or indirect customers.  QTI hereby reserves all rights not expressly granted herein.
</t>
    </r>
    <r>
      <rPr>
        <b/>
        <sz val="6"/>
        <color theme="1"/>
        <rFont val="Courier New"/>
        <family val="3"/>
      </rPr>
      <t xml:space="preserve">
 </t>
    </r>
    <r>
      <rPr>
        <b/>
        <u/>
        <sz val="6"/>
        <color theme="1"/>
        <rFont val="Courier New"/>
        <family val="3"/>
      </rPr>
      <t>1.4 WARRANTY DISCLAIMER.</t>
    </r>
    <r>
      <rPr>
        <b/>
        <sz val="6"/>
        <color theme="1"/>
        <rFont val="Courier New"/>
        <family val="3"/>
      </rPr>
      <t xml:space="preserve">  </t>
    </r>
    <r>
      <rPr>
        <sz val="6"/>
        <color theme="1"/>
        <rFont val="Courier New"/>
        <family val="3"/>
      </rPr>
      <t xml:space="preserve">YOU EXPRESSLY ACKNOWLEDGE AND AGREE THAT THE USE OF THE MATERIALS IS AT YOUR SOLE RISK.  THE MATERIALS AND TECHNICAL SUPPORT, IF ANY, ARE PROVIDED "AS IS" AND WITHOUT WARRANTY OF ANY KIND, WHETHER EXPRESS OR IMPLIED.  QTI ITS LICENSORS AND AFFILIATES MAKE NO WARRANTIES, EXPRESS OR IMPLIED, WITH RESPECT TO THE MATERIALS OR ANY OTHER INFORMATION OR DOCUMENTATION PROVIDED UNDER THIS AGREEMENT, INCLUDING BUT NOT LIMITED TO ANY WARRANTY OF MERCHANTABILITY OR FITNESS FOR A PARTICULAR PURPOSE OR AGAINST INFRINGEMENT, OR ANY EXPRESS OR IMPLIED WARRANTY ARISING OUT OF TRADE USAGE OR OUT OF A COURSE OF DEALING OR COURSE OF PERFORMANCE.  NOTHING CONTAINED IN THIS AGREEMENT SHALL BE CONSTRUED AS (I) A WARRANTY OR REPRESENTATION BY QTI, ITS LICENSORS OR AFFILIATES AS TO THE VALIDITY OR SCOPE OF ANY PATENT, COPYRIGHT OR OTHER INTELLECTUAL PROPERTY RIGHT OR (II) A WARRANTY OR REPRESENTATION BY QTI THAT ANY MANUFACTURE OR USE WILL BE FREE FROM INFRINGEMENT OF PATENTS, COPYRIGHTS OR OTHER INTELLECTUAL PROPERTY RIGHTS OF OTHERS, AND IT SHALL BE THE SOLE RESPONSIBILITY OF YOU TO MAKE SUCH DETERMINATION AS IS NECESSARY WITH RESPECT TO THE ACQUISITION OF LICENSES UNDER PATENTS AND OTHER INTELLECTUAL PROPERTY OF THIRD PARTIES.
</t>
    </r>
    <r>
      <rPr>
        <b/>
        <sz val="6"/>
        <color theme="1"/>
        <rFont val="Courier New"/>
        <family val="3"/>
      </rPr>
      <t xml:space="preserve">
 </t>
    </r>
    <r>
      <rPr>
        <b/>
        <u/>
        <sz val="6"/>
        <color theme="1"/>
        <rFont val="Courier New"/>
        <family val="3"/>
      </rPr>
      <t>1.5 LIMITATION OF LIABILITY.</t>
    </r>
    <r>
      <rPr>
        <b/>
        <sz val="6"/>
        <color theme="1"/>
        <rFont val="Courier New"/>
        <family val="3"/>
      </rPr>
      <t xml:space="preserve">  </t>
    </r>
    <r>
      <rPr>
        <sz val="6"/>
        <color theme="1"/>
        <rFont val="Courier New"/>
        <family val="3"/>
      </rPr>
      <t xml:space="preserve">IN NO EVENT SHALL QTI, QTI’S AFFILIATES OR ITS LICENSORS BE LIABLE TO YOU FOR ANY INCIDENTAL, CONSEQUENTIAL OR SPECIAL DAMAGES, INCLUDING BUT NOT LIMITED TO ANY LOST PROFITS, LOST SAVINGS, OR OTHER INCIDENTAL DAMAGES, ARISING OUT OF THE USE OR INABILITY TO USE, OR THE DELIVERY OR FAILURE TO DELIVER, ANY OF THE MATERIALS, OR ANY BREACH OF ANY OBLIGATION UNDER THIS AGREEMENT, EVEN IF QTI HAS BEEN ADVISED OF THE POSSIBILITY OF SUCH DAMAGES.  THE FOREGOING LIMITATION OF LIABILITY SHALL REMAIN IN FULL FORCE AND EFFECT REGARDLESS OF WHETHER YOUR REMEDIES HEREUNDER ARE DETERMINED TO HAVE FAILED OF THEIR ESSENTIAL PURPOSE.  THE ENTIRE LIABILITY OF QTI, QTI’s AFFILIATES AND ITS LICENSORS, AND THE SOLE AND EXCLUSIVE REMEDY OF YOU, FOR ANY CLAIM OR CAUSE OF ACTION ARISING HEREUNDER (WHETHER IN CONTRACT, TORT, OR OTHERWISE) SHALL NOT EXCEED US$10.
</t>
    </r>
    <r>
      <rPr>
        <b/>
        <sz val="6"/>
        <color theme="1"/>
        <rFont val="Courier New"/>
        <family val="3"/>
      </rPr>
      <t xml:space="preserve">
2. COMPLIANCE WITH LAWS; APPLICABLE LAW.  </t>
    </r>
    <r>
      <rPr>
        <sz val="6"/>
        <color theme="1"/>
        <rFont val="Courier New"/>
        <family val="3"/>
      </rPr>
      <t xml:space="preserve">You agree to comply with all applicable local, international and national laws and regulations and with U.S. Export Administration Regulations, as they apply to the subject matter of this Agreement.  This Agreement is governed by the laws of the State of California, excluding California’s choice of law rules. 
</t>
    </r>
    <r>
      <rPr>
        <b/>
        <sz val="6"/>
        <color theme="1"/>
        <rFont val="Courier New"/>
        <family val="3"/>
      </rPr>
      <t xml:space="preserve">
3. CONTRACTING PARTIES.  </t>
    </r>
    <r>
      <rPr>
        <sz val="6"/>
        <color theme="1"/>
        <rFont val="Courier New"/>
        <family val="3"/>
      </rPr>
      <t xml:space="preserve">If the Materials are downloaded on any computer owned by a corporation or other legal entity, then this Agreement is formed by and between QTI and such entity.  The individual accepting the terms of this Agreement represents and warrants to QTI that they have the authority to bind such entity to the terms and conditions of this Agreement.
</t>
    </r>
    <r>
      <rPr>
        <b/>
        <sz val="6"/>
        <color theme="1"/>
        <rFont val="Courier New"/>
        <family val="3"/>
      </rPr>
      <t xml:space="preserve">
4. MISCELLANEOUS PROVISIONS.  This Agreement, together with all exhibits attached hereto, which are incorporated herein by this reference, constitutes the entire agreement between QTI and You and supersedes all prior negotiations, representations and agreements between the parties with respect to the subject matter hereof.  No addition or modification of this Agreement shall be effective unless made in writing and signed by the respective representatives of QTI and You.  The restrictions, limitations, exclusions and conditions set forth in this Agreement shall apply even if QTI or any of its affiliates becomes aware of or fails to act in a manner to address any violation or failure to comply therewith.  You hereby acknowledge and agree that the restrictions, limitations, conditions and exclusions imposed in this Agreement on the rights granted in this Agreement are not a derogation of the benefits of such rights.  You further acknowledges that, in the absence of such restrictions, limitations, conditions and exclusions, QTI would not have entered into this Agreement with You.  Each party shall be responsible for and shall bear its own expenses in connection with this Agreement.  If any of the provisions of this Agreement are determined to be invalid, illegal, or otherwise unenforceable, the remaining provisions shall remain in full force and effect.  This Agreement is entered into solely in the English language, and if for any reason any other language version is prepared by any party, it shall be solely for convenience and the English version shall govern and control all aspects.  If You are located in the province of Quebec, Canada, the following applies: The Parties hereby confirm they have requested this Agreement and all related documents be prepared in English.
</t>
    </r>
  </si>
</sst>
</file>

<file path=xl/styles.xml><?xml version="1.0" encoding="utf-8"?>
<styleSheet xmlns="http://schemas.openxmlformats.org/spreadsheetml/2006/main">
  <numFmts count="4">
    <numFmt numFmtId="176" formatCode="00000000"/>
    <numFmt numFmtId="177" formatCode="[$-409]mmmm\ d\,\ yyyy;@"/>
    <numFmt numFmtId="178" formatCode="mmmm\ yyyy"/>
    <numFmt numFmtId="179" formatCode="[$-409]d\-mmm\-yy;@"/>
  </numFmts>
  <fonts count="52">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10"/>
      <name val="Arial"/>
      <family val="2"/>
    </font>
    <font>
      <b/>
      <i/>
      <sz val="24"/>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z val="10"/>
      <color rgb="FF006100"/>
      <name val="Arial"/>
      <family val="2"/>
    </font>
    <font>
      <sz val="10"/>
      <name val="Arial"/>
      <family val="2"/>
    </font>
    <font>
      <b/>
      <sz val="10"/>
      <color theme="8" tint="-0.249977111117893"/>
      <name val="Arial"/>
      <family val="2"/>
    </font>
    <font>
      <b/>
      <i/>
      <sz val="10"/>
      <name val="Arial"/>
      <family val="2"/>
    </font>
    <font>
      <sz val="14"/>
      <name val="Arial"/>
      <family val="2"/>
    </font>
    <font>
      <sz val="12"/>
      <name val="Times New Roman"/>
      <family val="1"/>
    </font>
    <font>
      <sz val="12"/>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20"/>
      <name val="Arial"/>
      <family val="2"/>
    </font>
    <font>
      <b/>
      <sz val="8"/>
      <color theme="1"/>
      <name val="Courier New"/>
      <family val="3"/>
    </font>
    <font>
      <sz val="8"/>
      <color theme="1"/>
      <name val="Courier New"/>
      <family val="3"/>
    </font>
    <font>
      <b/>
      <u/>
      <sz val="8"/>
      <color theme="1"/>
      <name val="Courier New"/>
      <family val="3"/>
    </font>
    <font>
      <b/>
      <sz val="6"/>
      <color theme="1"/>
      <name val="Courier New"/>
      <family val="3"/>
    </font>
    <font>
      <b/>
      <u/>
      <sz val="6"/>
      <color theme="1"/>
      <name val="Courier New"/>
      <family val="3"/>
    </font>
    <font>
      <sz val="6"/>
      <color theme="1"/>
      <name val="Courier New"/>
      <family val="3"/>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93">
    <xf numFmtId="0" fontId="0" fillId="0" borderId="0"/>
    <xf numFmtId="0" fontId="12" fillId="0" borderId="0"/>
    <xf numFmtId="0" fontId="1" fillId="0" borderId="0"/>
    <xf numFmtId="0" fontId="1" fillId="0" borderId="0"/>
    <xf numFmtId="0" fontId="1" fillId="0" borderId="0"/>
    <xf numFmtId="0" fontId="11" fillId="0" borderId="0"/>
    <xf numFmtId="0" fontId="11" fillId="0" borderId="0"/>
    <xf numFmtId="0" fontId="11" fillId="0" borderId="0"/>
    <xf numFmtId="0" fontId="1" fillId="0" borderId="0"/>
    <xf numFmtId="0" fontId="1" fillId="0" borderId="0"/>
    <xf numFmtId="0" fontId="1" fillId="0" borderId="0"/>
    <xf numFmtId="0" fontId="1" fillId="0" borderId="0"/>
    <xf numFmtId="0" fontId="5" fillId="0" borderId="0"/>
    <xf numFmtId="0" fontId="33" fillId="0" borderId="0"/>
    <xf numFmtId="0" fontId="32" fillId="5" borderId="0" applyNumberFormat="0" applyBorder="0" applyAlignment="0" applyProtection="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11" fillId="0" borderId="0"/>
    <xf numFmtId="179" fontId="11" fillId="0" borderId="0"/>
    <xf numFmtId="0" fontId="1" fillId="0" borderId="0"/>
    <xf numFmtId="179" fontId="11" fillId="0" borderId="0"/>
    <xf numFmtId="179" fontId="11" fillId="0" borderId="0"/>
    <xf numFmtId="0" fontId="1" fillId="0" borderId="0"/>
    <xf numFmtId="0" fontId="1" fillId="0" borderId="0"/>
    <xf numFmtId="179" fontId="11" fillId="0" borderId="0"/>
    <xf numFmtId="179" fontId="11" fillId="0" borderId="0"/>
    <xf numFmtId="179" fontId="11" fillId="0" borderId="0"/>
    <xf numFmtId="179" fontId="5" fillId="0" borderId="0"/>
    <xf numFmtId="179" fontId="5" fillId="0" borderId="0"/>
    <xf numFmtId="177" fontId="37" fillId="0" borderId="0" applyBorder="0"/>
    <xf numFmtId="177" fontId="5" fillId="0" borderId="0"/>
    <xf numFmtId="177" fontId="40" fillId="0" borderId="0" applyBorder="0"/>
    <xf numFmtId="177" fontId="5" fillId="0" borderId="0" applyBorder="0"/>
  </cellStyleXfs>
  <cellXfs count="133">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6" fillId="0" borderId="0" xfId="0" applyFont="1" applyAlignment="1">
      <alignment horizontal="center"/>
    </xf>
    <xf numFmtId="0" fontId="2" fillId="0" borderId="0" xfId="0" applyFont="1" applyAlignment="1">
      <alignment horizontal="center"/>
    </xf>
    <xf numFmtId="0" fontId="5" fillId="0" borderId="0" xfId="0" applyFont="1" applyAlignment="1">
      <alignment horizontal="right"/>
    </xf>
    <xf numFmtId="0" fontId="9" fillId="0" borderId="0" xfId="0" applyFont="1"/>
    <xf numFmtId="2" fontId="5" fillId="0" borderId="0" xfId="0" applyNumberFormat="1" applyFont="1"/>
    <xf numFmtId="0" fontId="4" fillId="0" borderId="0" xfId="0" applyFont="1" applyFill="1"/>
    <xf numFmtId="0" fontId="0" fillId="3" borderId="0" xfId="0" applyFill="1"/>
    <xf numFmtId="0" fontId="9"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7" fillId="0" borderId="1" xfId="0" applyFont="1" applyBorder="1" applyAlignment="1">
      <alignment horizontal="center"/>
    </xf>
    <xf numFmtId="0" fontId="6"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5" fillId="2" borderId="1" xfId="0" applyFont="1" applyFill="1" applyBorder="1"/>
    <xf numFmtId="0" fontId="4" fillId="2" borderId="1" xfId="0" applyFont="1" applyFill="1" applyBorder="1"/>
    <xf numFmtId="0" fontId="2" fillId="0" borderId="1" xfId="0" applyFont="1" applyBorder="1"/>
    <xf numFmtId="0" fontId="5" fillId="0" borderId="0" xfId="12" applyAlignment="1">
      <alignment vertical="center"/>
    </xf>
    <xf numFmtId="0" fontId="14" fillId="0" borderId="4" xfId="12" applyFont="1" applyBorder="1" applyAlignment="1">
      <alignment vertical="center" wrapText="1"/>
    </xf>
    <xf numFmtId="0" fontId="14" fillId="0" borderId="5" xfId="12" applyFont="1" applyBorder="1" applyAlignment="1">
      <alignment horizontal="center" vertical="center" wrapText="1"/>
    </xf>
    <xf numFmtId="0" fontId="15" fillId="0" borderId="6" xfId="12" applyFont="1" applyBorder="1" applyAlignment="1">
      <alignment horizontal="center" vertical="center" wrapText="1"/>
    </xf>
    <xf numFmtId="0" fontId="15" fillId="0" borderId="7" xfId="12" applyFont="1" applyBorder="1" applyAlignment="1">
      <alignment horizontal="center" vertical="center" wrapText="1"/>
    </xf>
    <xf numFmtId="0" fontId="14" fillId="0" borderId="0" xfId="12" applyFont="1" applyBorder="1" applyAlignment="1">
      <alignment horizontal="center" vertical="center" wrapText="1"/>
    </xf>
    <xf numFmtId="0" fontId="15" fillId="0" borderId="0" xfId="12" applyFont="1" applyBorder="1" applyAlignment="1">
      <alignment horizontal="center" vertical="center" wrapText="1"/>
    </xf>
    <xf numFmtId="0" fontId="5" fillId="0" borderId="0" xfId="0" applyFont="1"/>
    <xf numFmtId="0" fontId="5" fillId="0" borderId="0" xfId="0" applyFont="1" applyAlignment="1">
      <alignment vertical="center"/>
    </xf>
    <xf numFmtId="0" fontId="17"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18" fillId="0" borderId="0" xfId="0" applyFont="1"/>
    <xf numFmtId="2" fontId="18" fillId="0" borderId="0" xfId="0" applyNumberFormat="1" applyFont="1"/>
    <xf numFmtId="0" fontId="19" fillId="0" borderId="0" xfId="0" applyFont="1"/>
    <xf numFmtId="0" fontId="20" fillId="0" borderId="0" xfId="0" applyFont="1"/>
    <xf numFmtId="0" fontId="0" fillId="0" borderId="0" xfId="0" applyFill="1"/>
    <xf numFmtId="0" fontId="21" fillId="0" borderId="0" xfId="0" applyFont="1"/>
    <xf numFmtId="0" fontId="22" fillId="0" borderId="0" xfId="0" applyFont="1"/>
    <xf numFmtId="0" fontId="23" fillId="0" borderId="0" xfId="0" applyFont="1" applyAlignment="1">
      <alignment horizontal="right"/>
    </xf>
    <xf numFmtId="0" fontId="18" fillId="0" borderId="0" xfId="0" applyFont="1" applyAlignment="1">
      <alignment horizontal="right"/>
    </xf>
    <xf numFmtId="176" fontId="5" fillId="0" borderId="0" xfId="0" applyNumberFormat="1" applyFont="1" applyAlignment="1">
      <alignment horizontal="right"/>
    </xf>
    <xf numFmtId="0" fontId="24" fillId="0" borderId="0" xfId="0" applyFont="1"/>
    <xf numFmtId="0" fontId="23" fillId="0" borderId="0" xfId="0" applyFont="1"/>
    <xf numFmtId="0" fontId="10" fillId="0" borderId="0" xfId="0" applyFont="1"/>
    <xf numFmtId="0" fontId="3" fillId="3" borderId="0" xfId="0" applyFont="1" applyFill="1"/>
    <xf numFmtId="0" fontId="25" fillId="0" borderId="0" xfId="0" applyFont="1"/>
    <xf numFmtId="0" fontId="26" fillId="0" borderId="0" xfId="0" applyFont="1" applyAlignment="1">
      <alignment horizontal="right"/>
    </xf>
    <xf numFmtId="0" fontId="27" fillId="0" borderId="0" xfId="0" applyFont="1"/>
    <xf numFmtId="0" fontId="11" fillId="0" borderId="0" xfId="0" applyFont="1" applyAlignment="1">
      <alignment horizontal="right"/>
    </xf>
    <xf numFmtId="0" fontId="28" fillId="0" borderId="0" xfId="0" applyFont="1"/>
    <xf numFmtId="1" fontId="28" fillId="0" borderId="0" xfId="0" applyNumberFormat="1" applyFont="1"/>
    <xf numFmtId="0" fontId="29" fillId="0" borderId="0" xfId="0" applyFont="1"/>
    <xf numFmtId="0" fontId="30" fillId="0" borderId="0" xfId="0" applyFont="1"/>
    <xf numFmtId="0" fontId="31" fillId="3" borderId="0" xfId="0" applyFont="1" applyFill="1"/>
    <xf numFmtId="2" fontId="5" fillId="4" borderId="1" xfId="0" applyNumberFormat="1" applyFont="1" applyFill="1" applyBorder="1" applyAlignment="1">
      <alignment horizontal="center"/>
    </xf>
    <xf numFmtId="0" fontId="5" fillId="4" borderId="1" xfId="0" applyFont="1" applyFill="1" applyBorder="1" applyAlignment="1">
      <alignment horizontal="center"/>
    </xf>
    <xf numFmtId="0" fontId="8" fillId="0" borderId="1" xfId="0" applyFont="1" applyBorder="1"/>
    <xf numFmtId="0" fontId="0" fillId="0" borderId="1" xfId="0" applyBorder="1" applyAlignment="1">
      <alignment horizontal="left"/>
    </xf>
    <xf numFmtId="0" fontId="8" fillId="2" borderId="1" xfId="0" applyFont="1" applyFill="1" applyBorder="1"/>
    <xf numFmtId="0" fontId="5" fillId="0" borderId="0" xfId="0" applyFont="1" applyAlignment="1">
      <alignment horizontal="left"/>
    </xf>
    <xf numFmtId="0" fontId="0" fillId="0" borderId="0" xfId="0" applyFont="1"/>
    <xf numFmtId="0" fontId="2" fillId="2" borderId="1" xfId="0" applyFont="1" applyFill="1" applyBorder="1" applyAlignment="1">
      <alignment horizontal="center"/>
    </xf>
    <xf numFmtId="0" fontId="4" fillId="2" borderId="1" xfId="0" applyFont="1" applyFill="1" applyBorder="1" applyAlignment="1">
      <alignment horizontal="center" vertical="center"/>
    </xf>
    <xf numFmtId="178" fontId="14" fillId="0" borderId="4" xfId="12" applyNumberFormat="1" applyFont="1" applyBorder="1" applyAlignment="1">
      <alignment horizontal="center" vertical="center" wrapText="1"/>
    </xf>
    <xf numFmtId="0" fontId="4" fillId="2" borderId="1" xfId="0" applyFont="1" applyFill="1" applyBorder="1" applyAlignment="1">
      <alignment wrapText="1"/>
    </xf>
    <xf numFmtId="0" fontId="34" fillId="3" borderId="0" xfId="0" applyFont="1" applyFill="1"/>
    <xf numFmtId="0" fontId="25" fillId="3" borderId="0" xfId="0" applyFont="1" applyFill="1"/>
    <xf numFmtId="0" fontId="35" fillId="2" borderId="1" xfId="0" applyFont="1" applyFill="1" applyBorder="1" applyAlignment="1">
      <alignment wrapText="1"/>
    </xf>
    <xf numFmtId="0" fontId="2" fillId="0" borderId="0" xfId="0" applyFont="1" applyBorder="1" applyAlignment="1">
      <alignment horizontal="center"/>
    </xf>
    <xf numFmtId="0" fontId="0" fillId="0" borderId="0" xfId="0" applyBorder="1" applyAlignment="1">
      <alignment horizontal="center"/>
    </xf>
    <xf numFmtId="0" fontId="2" fillId="2" borderId="1" xfId="0" applyFont="1" applyFill="1" applyBorder="1" applyAlignment="1">
      <alignment wrapText="1"/>
    </xf>
    <xf numFmtId="0" fontId="0" fillId="0" borderId="0" xfId="0" applyFont="1" applyAlignment="1">
      <alignment vertical="center"/>
    </xf>
    <xf numFmtId="0" fontId="10" fillId="3" borderId="0" xfId="0" applyFont="1" applyFill="1"/>
    <xf numFmtId="177" fontId="38" fillId="0" borderId="0" xfId="89" applyNumberFormat="1" applyFont="1" applyAlignment="1" applyProtection="1">
      <alignment horizontal="left" wrapText="1"/>
      <protection locked="0"/>
    </xf>
    <xf numFmtId="177" fontId="38" fillId="0" borderId="0" xfId="89" applyFont="1" applyBorder="1" applyAlignment="1" applyProtection="1">
      <alignment horizontal="left" vertical="center"/>
      <protection locked="0"/>
    </xf>
    <xf numFmtId="177" fontId="37" fillId="0" borderId="0" xfId="89" applyBorder="1" applyProtection="1">
      <protection locked="0"/>
    </xf>
    <xf numFmtId="0" fontId="39" fillId="0" borderId="0" xfId="89" applyNumberFormat="1" applyFont="1" applyAlignment="1" applyProtection="1">
      <alignment horizontal="center"/>
      <protection locked="0"/>
    </xf>
    <xf numFmtId="0" fontId="5" fillId="0" borderId="0" xfId="90" applyNumberFormat="1"/>
    <xf numFmtId="0" fontId="5" fillId="0" borderId="0" xfId="90" applyNumberFormat="1" applyProtection="1">
      <protection locked="0"/>
    </xf>
    <xf numFmtId="0" fontId="37" fillId="0" borderId="0" xfId="89" applyNumberFormat="1"/>
    <xf numFmtId="0" fontId="37" fillId="0" borderId="0" xfId="89" applyNumberFormat="1" applyFill="1"/>
    <xf numFmtId="177" fontId="36" fillId="0" borderId="0" xfId="91" applyFont="1"/>
    <xf numFmtId="14" fontId="37" fillId="0" borderId="0" xfId="89" applyNumberFormat="1"/>
    <xf numFmtId="0" fontId="37" fillId="0" borderId="0" xfId="89" applyNumberFormat="1" applyAlignment="1"/>
    <xf numFmtId="0" fontId="5" fillId="0" borderId="0" xfId="92" applyNumberFormat="1"/>
    <xf numFmtId="0" fontId="5" fillId="0" borderId="0" xfId="90" applyNumberFormat="1" applyFont="1"/>
    <xf numFmtId="0" fontId="13" fillId="0" borderId="0" xfId="89" applyNumberFormat="1" applyFont="1" applyAlignment="1" applyProtection="1">
      <alignment horizontal="right" wrapText="1"/>
      <protection locked="0"/>
    </xf>
    <xf numFmtId="0" fontId="5" fillId="0" borderId="0" xfId="92" applyNumberFormat="1" applyAlignment="1"/>
    <xf numFmtId="0" fontId="37" fillId="0" borderId="0" xfId="89" applyNumberFormat="1" applyFont="1" applyAlignment="1">
      <alignment wrapText="1"/>
    </xf>
    <xf numFmtId="0" fontId="5" fillId="0" borderId="0" xfId="90" applyNumberFormat="1" applyFill="1"/>
    <xf numFmtId="177" fontId="36" fillId="0" borderId="0" xfId="91" applyFont="1" applyAlignment="1">
      <alignment vertical="center" wrapText="1"/>
    </xf>
    <xf numFmtId="0" fontId="39" fillId="0" borderId="0" xfId="89" applyNumberFormat="1" applyFont="1" applyAlignment="1" applyProtection="1">
      <alignment horizontal="center" vertical="center" wrapText="1"/>
      <protection locked="0"/>
    </xf>
    <xf numFmtId="0" fontId="16" fillId="0" borderId="0" xfId="0" applyFont="1"/>
    <xf numFmtId="0" fontId="41" fillId="0" borderId="0" xfId="0" applyFont="1"/>
    <xf numFmtId="49" fontId="43" fillId="0" borderId="0" xfId="0" applyNumberFormat="1" applyFont="1" applyAlignment="1">
      <alignment vertical="center"/>
    </xf>
    <xf numFmtId="0" fontId="41" fillId="0" borderId="0" xfId="0" applyFont="1" applyAlignment="1">
      <alignment vertical="center"/>
    </xf>
    <xf numFmtId="0" fontId="43" fillId="0" borderId="0" xfId="0" applyFont="1"/>
    <xf numFmtId="0" fontId="43" fillId="0" borderId="0" xfId="0" applyNumberFormat="1" applyFont="1" applyAlignment="1">
      <alignment horizontal="left" vertical="center"/>
    </xf>
    <xf numFmtId="0" fontId="42" fillId="0" borderId="0" xfId="0" applyFont="1" applyAlignment="1">
      <alignment vertical="center"/>
    </xf>
    <xf numFmtId="0" fontId="41" fillId="0" borderId="0" xfId="0" applyFont="1" applyAlignment="1">
      <alignment horizontal="left"/>
    </xf>
    <xf numFmtId="0" fontId="43" fillId="0" borderId="0" xfId="0" applyFont="1" applyAlignment="1">
      <alignment horizontal="left"/>
    </xf>
    <xf numFmtId="0" fontId="17" fillId="0" borderId="0" xfId="12" applyFont="1" applyAlignment="1">
      <alignment vertical="center"/>
    </xf>
    <xf numFmtId="177" fontId="17" fillId="0" borderId="0" xfId="89" applyFont="1" applyAlignment="1" applyProtection="1">
      <alignment horizontal="left" wrapText="1"/>
      <protection locked="0"/>
    </xf>
    <xf numFmtId="177" fontId="44" fillId="0" borderId="0" xfId="89" applyFont="1" applyAlignment="1" applyProtection="1">
      <alignment horizontal="left" wrapText="1"/>
      <protection locked="0"/>
    </xf>
    <xf numFmtId="49" fontId="39" fillId="0" borderId="0" xfId="89" applyNumberFormat="1" applyFont="1" applyAlignment="1" applyProtection="1">
      <alignment horizontal="left" vertical="center" wrapText="1"/>
      <protection locked="0"/>
    </xf>
    <xf numFmtId="0" fontId="45" fillId="0" borderId="0" xfId="0" applyFont="1" applyAlignment="1">
      <alignment vertical="center" wrapText="1"/>
    </xf>
    <xf numFmtId="0" fontId="46" fillId="0" borderId="0" xfId="0" applyFont="1" applyAlignment="1">
      <alignment wrapText="1"/>
    </xf>
    <xf numFmtId="0" fontId="46" fillId="0" borderId="0" xfId="0" applyFont="1" applyAlignment="1">
      <alignment vertical="center" wrapText="1"/>
    </xf>
    <xf numFmtId="0" fontId="47" fillId="0" borderId="0" xfId="0" applyFont="1" applyAlignment="1">
      <alignment vertical="center" wrapText="1"/>
    </xf>
    <xf numFmtId="0" fontId="46" fillId="0" borderId="0" xfId="0" applyFont="1" applyAlignment="1">
      <alignment horizontal="left" vertical="center" wrapText="1"/>
    </xf>
    <xf numFmtId="0" fontId="48" fillId="0" borderId="0" xfId="0" applyFont="1" applyAlignment="1" applyProtection="1">
      <alignment vertical="top" wrapText="1"/>
      <protection locked="0"/>
    </xf>
    <xf numFmtId="0" fontId="46" fillId="0" borderId="0" xfId="0" applyFont="1" applyAlignment="1" applyProtection="1">
      <alignment vertical="top" wrapText="1"/>
      <protection locked="0"/>
    </xf>
    <xf numFmtId="0" fontId="0" fillId="0" borderId="0" xfId="0" applyAlignment="1" applyProtection="1">
      <alignment vertical="top"/>
      <protection locked="0"/>
    </xf>
    <xf numFmtId="0" fontId="48" fillId="0" borderId="0" xfId="0" applyFont="1" applyAlignment="1">
      <alignment vertical="center" wrapText="1"/>
    </xf>
    <xf numFmtId="0" fontId="5"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wrapText="1"/>
    </xf>
    <xf numFmtId="0" fontId="0" fillId="0" borderId="1" xfId="0" applyBorder="1" applyAlignment="1">
      <alignment horizontal="center" vertical="center" wrapText="1"/>
    </xf>
  </cellXfs>
  <cellStyles count="93">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91"/>
    <cellStyle name="Normal 150" xfId="21"/>
    <cellStyle name="Normal 153" xfId="22"/>
    <cellStyle name="Normal 158" xfId="23"/>
    <cellStyle name="Normal 159" xfId="24"/>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2"/>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Normal_80-V0289-1_B" xfId="89"/>
    <cellStyle name="Normal_80-VD450-1_A" xfId="90"/>
    <cellStyle name="常规" xfId="0" builtinId="0"/>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0</xdr:col>
      <xdr:colOff>19050</xdr:colOff>
      <xdr:row>0</xdr:row>
      <xdr:rowOff>28575</xdr:rowOff>
    </xdr:from>
    <xdr:ext cx="1944370" cy="474345"/>
    <xdr:pic>
      <xdr:nvPicPr>
        <xdr:cNvPr id="2" name="Picture 1" descr="C:\Users\rmireles\Desktop\qlogo.GIF.gif"/>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9050" y="28575"/>
          <a:ext cx="1944370" cy="474345"/>
        </a:xfrm>
        <a:prstGeom prst="rect">
          <a:avLst/>
        </a:prstGeom>
        <a:noFill/>
        <a:ln>
          <a:noFill/>
        </a:ln>
      </xdr:spPr>
    </xdr:pic>
    <xdr:clientData/>
  </xdr:oneCellAnchor>
  <xdr:twoCellAnchor>
    <xdr:from>
      <xdr:col>0</xdr:col>
      <xdr:colOff>47625</xdr:colOff>
      <xdr:row>0</xdr:row>
      <xdr:rowOff>314325</xdr:rowOff>
    </xdr:from>
    <xdr:to>
      <xdr:col>0</xdr:col>
      <xdr:colOff>6362700</xdr:colOff>
      <xdr:row>1</xdr:row>
      <xdr:rowOff>19051</xdr:rowOff>
    </xdr:to>
    <xdr:grpSp>
      <xdr:nvGrpSpPr>
        <xdr:cNvPr id="3" name="Group 2"/>
        <xdr:cNvGrpSpPr/>
      </xdr:nvGrpSpPr>
      <xdr:grpSpPr>
        <a:xfrm>
          <a:off x="47625" y="314325"/>
          <a:ext cx="6315075" cy="1524001"/>
          <a:chOff x="4131" y="466848"/>
          <a:chExt cx="6315407" cy="1524352"/>
        </a:xfrm>
      </xdr:grpSpPr>
      <xdr:sp macro="" textlink="">
        <xdr:nvSpPr>
          <xdr:cNvPr id="4" name="Arc 3"/>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5" name="Group 4"/>
          <xdr:cNvGrpSpPr/>
        </xdr:nvGrpSpPr>
        <xdr:grpSpPr>
          <a:xfrm>
            <a:off x="4131" y="564184"/>
            <a:ext cx="6210300" cy="1427016"/>
            <a:chOff x="4131" y="564184"/>
            <a:chExt cx="6210300" cy="1427016"/>
          </a:xfrm>
        </xdr:grpSpPr>
        <xdr:cxnSp macro="">
          <xdr:nvCxnSpPr>
            <xdr:cNvPr id="6" name="Straight Connector 5"/>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7" name="Group 6"/>
            <xdr:cNvGrpSpPr/>
          </xdr:nvGrpSpPr>
          <xdr:grpSpPr>
            <a:xfrm>
              <a:off x="5452431" y="564184"/>
              <a:ext cx="762000" cy="762000"/>
              <a:chOff x="5452431" y="564184"/>
              <a:chExt cx="762000" cy="762000"/>
            </a:xfrm>
          </xdr:grpSpPr>
          <xdr:sp macro="" textlink="">
            <xdr:nvSpPr>
              <xdr:cNvPr id="30" name="Oval 29"/>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2" name="Rounded Rectangle 31"/>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8" name="Group 7"/>
            <xdr:cNvGrpSpPr/>
          </xdr:nvGrpSpPr>
          <xdr:grpSpPr>
            <a:xfrm>
              <a:off x="4788974" y="1166666"/>
              <a:ext cx="692536" cy="686632"/>
              <a:chOff x="4788974" y="1166666"/>
              <a:chExt cx="692536" cy="686632"/>
            </a:xfrm>
          </xdr:grpSpPr>
          <xdr:sp macro="" textlink="">
            <xdr:nvSpPr>
              <xdr:cNvPr id="20" name="Oval 19"/>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Arc 20"/>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ounded Rectangle 21"/>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ounded Rectangle 22"/>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9" name="Group 8"/>
            <xdr:cNvGrpSpPr/>
          </xdr:nvGrpSpPr>
          <xdr:grpSpPr>
            <a:xfrm>
              <a:off x="5603460" y="1501621"/>
              <a:ext cx="485537" cy="489579"/>
              <a:chOff x="5603460" y="1501621"/>
              <a:chExt cx="485537" cy="489579"/>
            </a:xfrm>
          </xdr:grpSpPr>
          <xdr:sp macro="" textlink="">
            <xdr:nvSpPr>
              <xdr:cNvPr id="10" name="Oval 9"/>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Arc 10"/>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2" name="Rounded Rectangle 11"/>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Rounded Rectangle 12"/>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C7EDCC"/>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Z25"/>
  <sheetViews>
    <sheetView view="pageLayout" zoomScaleNormal="85" zoomScaleSheetLayoutView="100" workbookViewId="0">
      <selection activeCell="A6" sqref="A6"/>
    </sheetView>
  </sheetViews>
  <sheetFormatPr defaultColWidth="9.140625" defaultRowHeight="12.75"/>
  <cols>
    <col min="1" max="1" width="97.140625" style="91" customWidth="1"/>
    <col min="2" max="2" width="10" style="90" customWidth="1"/>
    <col min="3" max="7" width="9.140625" style="90" customWidth="1"/>
    <col min="8" max="16384" width="9.140625" style="90"/>
  </cols>
  <sheetData>
    <row r="1" spans="1:26" ht="143.25" customHeight="1">
      <c r="A1" s="103" t="s">
        <v>209</v>
      </c>
      <c r="B1" s="102"/>
      <c r="C1" s="101"/>
      <c r="D1" s="100"/>
      <c r="E1" s="100"/>
      <c r="F1" s="100"/>
      <c r="G1" s="100"/>
    </row>
    <row r="2" spans="1:26" ht="101.25" customHeight="1">
      <c r="A2" s="115" t="s">
        <v>110</v>
      </c>
      <c r="B2" s="99"/>
      <c r="C2" s="98"/>
      <c r="Z2" s="97"/>
    </row>
    <row r="3" spans="1:26" s="92" customFormat="1" ht="29.25" customHeight="1">
      <c r="A3" s="116" t="s">
        <v>111</v>
      </c>
      <c r="G3" s="96"/>
    </row>
    <row r="4" spans="1:26" s="92" customFormat="1" ht="27" customHeight="1">
      <c r="A4" s="86"/>
      <c r="B4" s="95"/>
    </row>
    <row r="5" spans="1:26" s="92" customFormat="1" ht="27" customHeight="1">
      <c r="A5" s="87">
        <v>42170</v>
      </c>
      <c r="B5" s="94"/>
    </row>
    <row r="6" spans="1:26" s="92" customFormat="1" ht="16.899999999999999" customHeight="1">
      <c r="A6" s="88"/>
      <c r="B6" s="93"/>
      <c r="C6" s="93"/>
      <c r="D6" s="93"/>
    </row>
    <row r="7" spans="1:26" s="92" customFormat="1" ht="144.75" customHeight="1">
      <c r="A7" s="89" t="s">
        <v>210</v>
      </c>
    </row>
    <row r="8" spans="1:26" s="92" customFormat="1" ht="123.75" customHeight="1">
      <c r="A8" s="117" t="s">
        <v>212</v>
      </c>
    </row>
    <row r="9" spans="1:26" s="92" customFormat="1" ht="79.5" customHeight="1">
      <c r="A9" s="104" t="s">
        <v>211</v>
      </c>
    </row>
    <row r="10" spans="1:26" s="92" customFormat="1" ht="24" customHeight="1">
      <c r="A10" s="104"/>
    </row>
    <row r="15" spans="1:26" ht="13.5" customHeight="1"/>
    <row r="21" ht="12.75" customHeight="1"/>
    <row r="22" ht="12.75" customHeight="1"/>
    <row r="25" ht="12.75" customHeight="1"/>
  </sheetData>
  <phoneticPr fontId="51" type="noConversion"/>
  <pageMargins left="0.75" right="0.75" top="0.5" bottom="0.5" header="0.5" footer="0.5"/>
  <pageSetup fitToHeight="0" orientation="portrait" r:id="rId1"/>
  <headerFooter scaleWithDoc="0" alignWithMargins="0">
    <oddHeader>&amp;R&amp;8</oddHeader>
    <oddFooter>&amp;L&amp;8&amp;C&amp;8&amp;R&amp;8</oddFooter>
  </headerFooter>
  <drawing r:id="rId2"/>
</worksheet>
</file>

<file path=xl/worksheets/sheet2.xml><?xml version="1.0" encoding="utf-8"?>
<worksheet xmlns="http://schemas.openxmlformats.org/spreadsheetml/2006/main" xmlns:r="http://schemas.openxmlformats.org/officeDocument/2006/relationships">
  <sheetPr codeName="Sheet4">
    <pageSetUpPr fitToPage="1"/>
  </sheetPr>
  <dimension ref="A1:E9"/>
  <sheetViews>
    <sheetView showGridLines="0" view="pageLayout" zoomScale="120" zoomScaleNormal="100" zoomScaleSheetLayoutView="85" zoomScalePageLayoutView="120" workbookViewId="0">
      <selection activeCell="E12" sqref="E12"/>
    </sheetView>
  </sheetViews>
  <sheetFormatPr defaultColWidth="9.140625" defaultRowHeight="15.95" customHeight="1"/>
  <cols>
    <col min="1" max="2" width="3.28515625" style="32" customWidth="1"/>
    <col min="3" max="3" width="9.140625" style="32"/>
    <col min="4" max="4" width="16" style="32" customWidth="1"/>
    <col min="5" max="5" width="75.7109375" style="32" customWidth="1"/>
    <col min="6" max="16384" width="9.140625" style="32"/>
  </cols>
  <sheetData>
    <row r="1" spans="1:5" ht="24.75" customHeight="1">
      <c r="A1" s="114" t="s">
        <v>107</v>
      </c>
      <c r="B1" s="114"/>
    </row>
    <row r="2" spans="1:5" ht="15.95" customHeight="1">
      <c r="A2" s="38"/>
      <c r="B2" s="38"/>
      <c r="C2" s="38"/>
      <c r="D2" s="38"/>
    </row>
    <row r="3" spans="1:5" ht="20.100000000000001" customHeight="1" thickBot="1">
      <c r="A3" s="37"/>
      <c r="B3" s="37"/>
      <c r="C3" s="36" t="s">
        <v>106</v>
      </c>
      <c r="D3" s="35" t="s">
        <v>105</v>
      </c>
      <c r="E3" s="35" t="s">
        <v>104</v>
      </c>
    </row>
    <row r="4" spans="1:5" ht="15.95" customHeight="1">
      <c r="C4" s="34" t="s">
        <v>103</v>
      </c>
      <c r="D4" s="76">
        <v>42156</v>
      </c>
      <c r="E4" s="33" t="s">
        <v>102</v>
      </c>
    </row>
    <row r="9" spans="1:5" ht="27.75" customHeight="1"/>
  </sheetData>
  <phoneticPr fontId="51" type="noConversion"/>
  <pageMargins left="0.7" right="0.7" top="0.75" bottom="0.75" header="0.3" footer="0.3"/>
  <pageSetup scale="86" firstPageNumber="2" fitToHeight="0" orientation="portrait" r:id="rId1"/>
  <headerFooter>
    <oddHeader>&amp;LDSI Timing Parameters</oddHeader>
    <oddFooter>&amp;C&amp;"Arial,Bold" MAY CONTAIN U.S. AND INTERNATIONAL EXPORT CONTROLLED INFORMATION&amp;R&amp;8&amp;P</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R37"/>
  <sheetViews>
    <sheetView view="pageLayout" topLeftCell="A13" zoomScale="120" zoomScaleNormal="85" zoomScalePageLayoutView="120" workbookViewId="0">
      <selection activeCell="E12" sqref="E12"/>
    </sheetView>
  </sheetViews>
  <sheetFormatPr defaultRowHeight="12.75"/>
  <cols>
    <col min="1" max="1" width="4.140625" customWidth="1"/>
  </cols>
  <sheetData>
    <row r="1" spans="1:11" ht="45" customHeight="1">
      <c r="A1" s="41" t="s">
        <v>108</v>
      </c>
      <c r="B1" s="40"/>
      <c r="C1" s="39"/>
      <c r="D1" s="39"/>
      <c r="E1" s="39"/>
      <c r="F1" s="39"/>
      <c r="G1" s="39"/>
      <c r="H1" s="39"/>
      <c r="I1" s="39"/>
      <c r="J1" s="39"/>
      <c r="K1" s="39"/>
    </row>
    <row r="2" spans="1:11" s="14" customFormat="1" ht="15" customHeight="1">
      <c r="A2" s="107" t="s">
        <v>132</v>
      </c>
      <c r="B2" s="108"/>
      <c r="C2" s="39"/>
      <c r="D2" s="39"/>
      <c r="E2" s="39"/>
      <c r="F2" s="39"/>
      <c r="G2" s="39"/>
      <c r="H2" s="39"/>
      <c r="I2" s="39"/>
      <c r="J2" s="39"/>
      <c r="K2" s="39"/>
    </row>
    <row r="3" spans="1:11" ht="18.75" customHeight="1">
      <c r="A3" s="109"/>
      <c r="B3" s="107" t="s">
        <v>188</v>
      </c>
      <c r="C3" s="39"/>
      <c r="D3" s="39"/>
      <c r="E3" s="39"/>
      <c r="F3" s="39"/>
      <c r="G3" s="39"/>
      <c r="H3" s="39"/>
      <c r="I3" s="39"/>
      <c r="J3" s="39"/>
      <c r="K3" s="39"/>
    </row>
    <row r="4" spans="1:11" ht="18.75" customHeight="1">
      <c r="A4" s="109"/>
      <c r="B4" s="107" t="s">
        <v>189</v>
      </c>
      <c r="C4" s="39"/>
      <c r="D4" s="39"/>
      <c r="E4" s="39"/>
      <c r="F4" s="39"/>
      <c r="G4" s="39"/>
      <c r="H4" s="39"/>
      <c r="I4" s="39"/>
      <c r="J4" s="39"/>
      <c r="K4" s="39"/>
    </row>
    <row r="5" spans="1:11" ht="18.75" customHeight="1">
      <c r="A5" s="109"/>
      <c r="B5" s="107" t="s">
        <v>133</v>
      </c>
      <c r="C5" s="39"/>
      <c r="D5" s="39"/>
      <c r="E5" s="39"/>
      <c r="F5" s="39"/>
      <c r="G5" s="39"/>
      <c r="H5" s="39"/>
      <c r="I5" s="39"/>
      <c r="J5" s="39"/>
      <c r="K5" s="39"/>
    </row>
    <row r="6" spans="1:11" ht="18.75" customHeight="1">
      <c r="A6" s="109"/>
      <c r="B6" s="107" t="s">
        <v>134</v>
      </c>
      <c r="C6" s="39"/>
      <c r="D6" s="39"/>
      <c r="E6" s="39"/>
      <c r="F6" s="39"/>
      <c r="G6" s="39"/>
      <c r="H6" s="39"/>
      <c r="I6" s="39"/>
      <c r="J6" s="39"/>
      <c r="K6" s="39"/>
    </row>
    <row r="7" spans="1:11" ht="18.75" customHeight="1">
      <c r="A7" s="109"/>
      <c r="B7" s="107" t="s">
        <v>135</v>
      </c>
      <c r="C7" s="39"/>
      <c r="D7" s="39"/>
      <c r="E7" s="39"/>
      <c r="F7" s="39"/>
      <c r="G7" s="39"/>
      <c r="H7" s="39"/>
      <c r="I7" s="39"/>
      <c r="J7" s="39"/>
      <c r="K7" s="39"/>
    </row>
    <row r="8" spans="1:11" s="14" customFormat="1" ht="18.75" customHeight="1">
      <c r="A8" s="109"/>
      <c r="B8" s="110" t="s">
        <v>190</v>
      </c>
      <c r="D8" s="39"/>
      <c r="E8" s="39"/>
      <c r="F8" s="39"/>
      <c r="G8" s="39"/>
      <c r="H8" s="39"/>
      <c r="I8" s="39"/>
      <c r="J8" s="39"/>
      <c r="K8" s="39"/>
    </row>
    <row r="9" spans="1:11" s="14" customFormat="1" ht="18.75" customHeight="1">
      <c r="A9" s="109"/>
      <c r="B9" s="110" t="s">
        <v>191</v>
      </c>
      <c r="D9" s="39"/>
      <c r="E9" s="39"/>
      <c r="F9" s="39"/>
      <c r="G9" s="39"/>
      <c r="H9" s="39"/>
      <c r="I9" s="39"/>
      <c r="J9" s="39"/>
      <c r="K9" s="39"/>
    </row>
    <row r="10" spans="1:11" s="14" customFormat="1" ht="18.75" customHeight="1">
      <c r="A10" s="109"/>
      <c r="B10" s="110" t="s">
        <v>192</v>
      </c>
      <c r="D10" s="39"/>
      <c r="E10" s="39"/>
      <c r="F10" s="39"/>
      <c r="G10" s="39"/>
      <c r="H10" s="39"/>
      <c r="I10" s="39"/>
      <c r="J10" s="39"/>
      <c r="K10" s="39"/>
    </row>
    <row r="11" spans="1:11" s="14" customFormat="1" ht="18.75" customHeight="1">
      <c r="A11" s="109"/>
      <c r="B11" s="110" t="s">
        <v>193</v>
      </c>
      <c r="D11" s="39"/>
      <c r="E11" s="39"/>
      <c r="F11" s="39"/>
      <c r="G11" s="39"/>
      <c r="H11" s="39"/>
      <c r="I11" s="39"/>
      <c r="J11" s="39"/>
      <c r="K11" s="39"/>
    </row>
    <row r="12" spans="1:11" s="14" customFormat="1" ht="18.75" customHeight="1">
      <c r="A12" s="109"/>
      <c r="B12" s="110" t="s">
        <v>194</v>
      </c>
      <c r="D12" s="39"/>
      <c r="E12" s="72"/>
      <c r="F12" s="39"/>
      <c r="G12" s="39"/>
      <c r="H12" s="39"/>
      <c r="I12" s="39"/>
      <c r="J12" s="39"/>
      <c r="K12" s="39"/>
    </row>
    <row r="13" spans="1:11" s="14" customFormat="1" ht="18.75" customHeight="1">
      <c r="A13" s="109"/>
      <c r="B13" s="110" t="s">
        <v>172</v>
      </c>
      <c r="D13" s="39"/>
      <c r="E13" s="72"/>
      <c r="F13" s="39"/>
      <c r="G13" s="39"/>
      <c r="H13" s="39"/>
      <c r="I13" s="39"/>
      <c r="J13" s="39"/>
      <c r="K13" s="39"/>
    </row>
    <row r="14" spans="1:11" ht="18.75" customHeight="1">
      <c r="A14" s="111"/>
      <c r="B14" s="112" t="s">
        <v>171</v>
      </c>
      <c r="D14" s="39"/>
      <c r="E14" s="39"/>
      <c r="F14" s="39"/>
      <c r="G14" s="39"/>
      <c r="H14" s="39"/>
      <c r="I14" s="39"/>
      <c r="J14" s="39"/>
      <c r="K14" s="39"/>
    </row>
    <row r="15" spans="1:11" s="14" customFormat="1" ht="18.75" customHeight="1">
      <c r="A15" s="111"/>
      <c r="B15" s="112" t="s">
        <v>204</v>
      </c>
      <c r="D15" s="39"/>
      <c r="E15" s="39"/>
      <c r="F15" s="39"/>
      <c r="G15" s="39"/>
      <c r="H15" s="39"/>
      <c r="I15" s="39"/>
      <c r="J15" s="39"/>
      <c r="K15" s="39"/>
    </row>
    <row r="16" spans="1:11" s="14" customFormat="1" ht="18.75" customHeight="1">
      <c r="A16" s="111"/>
      <c r="B16" s="112" t="s">
        <v>205</v>
      </c>
      <c r="D16" s="39"/>
      <c r="E16" s="39"/>
      <c r="F16" s="39"/>
      <c r="G16" s="39"/>
      <c r="H16" s="39"/>
      <c r="I16" s="39"/>
      <c r="J16" s="39"/>
      <c r="K16" s="39"/>
    </row>
    <row r="17" spans="1:11" s="14" customFormat="1" ht="18.75" customHeight="1">
      <c r="A17" s="111"/>
      <c r="B17" s="112" t="s">
        <v>206</v>
      </c>
      <c r="D17" s="39"/>
      <c r="E17" s="39"/>
      <c r="F17" s="39"/>
      <c r="G17" s="39"/>
      <c r="H17" s="39"/>
      <c r="I17" s="39"/>
      <c r="J17" s="39"/>
      <c r="K17" s="39"/>
    </row>
    <row r="18" spans="1:11" s="14" customFormat="1" ht="18.75" customHeight="1">
      <c r="A18" s="111"/>
      <c r="B18" s="112" t="s">
        <v>195</v>
      </c>
      <c r="D18" s="39"/>
      <c r="E18" s="39"/>
      <c r="F18" s="39"/>
      <c r="G18" s="39"/>
      <c r="H18" s="39"/>
      <c r="I18" s="39"/>
      <c r="J18" s="39"/>
      <c r="K18" s="39"/>
    </row>
    <row r="19" spans="1:11" s="14" customFormat="1" ht="18.75" customHeight="1">
      <c r="A19" s="41"/>
      <c r="B19" s="72"/>
      <c r="D19" s="39"/>
      <c r="E19" s="39"/>
      <c r="F19" s="39"/>
      <c r="G19" s="39"/>
      <c r="H19" s="39"/>
      <c r="I19" s="39"/>
      <c r="J19" s="39"/>
      <c r="K19" s="39"/>
    </row>
    <row r="20" spans="1:11" ht="18.75" customHeight="1">
      <c r="A20" s="105" t="s">
        <v>109</v>
      </c>
      <c r="B20" s="39"/>
      <c r="C20" s="39"/>
      <c r="D20" s="39"/>
      <c r="E20" s="39"/>
      <c r="F20" s="39"/>
      <c r="G20" s="39"/>
      <c r="H20" s="39"/>
      <c r="I20" s="39"/>
      <c r="J20" s="39"/>
      <c r="K20" s="39"/>
    </row>
    <row r="21" spans="1:11" ht="18.75" customHeight="1">
      <c r="A21" s="106" t="s">
        <v>203</v>
      </c>
      <c r="B21" s="106"/>
      <c r="C21" s="39"/>
      <c r="D21" s="39"/>
      <c r="E21" s="39"/>
      <c r="F21" s="39"/>
      <c r="G21" s="39"/>
      <c r="H21" s="39"/>
      <c r="I21" s="39"/>
      <c r="J21" s="39"/>
      <c r="K21" s="39"/>
    </row>
    <row r="22" spans="1:11" ht="18.75" customHeight="1">
      <c r="A22" s="106" t="s">
        <v>196</v>
      </c>
      <c r="B22" s="106"/>
      <c r="C22" s="39"/>
      <c r="D22" s="39"/>
      <c r="E22" s="39"/>
      <c r="F22" s="39"/>
      <c r="G22" s="39"/>
      <c r="H22" s="39"/>
      <c r="I22" s="39"/>
      <c r="J22" s="39"/>
      <c r="K22" s="39"/>
    </row>
    <row r="23" spans="1:11" s="14" customFormat="1" ht="18.75" customHeight="1">
      <c r="A23" s="106" t="s">
        <v>197</v>
      </c>
      <c r="B23" s="106"/>
      <c r="C23" s="39"/>
      <c r="D23" s="39"/>
      <c r="E23" s="39"/>
      <c r="F23" s="39"/>
      <c r="G23" s="39"/>
      <c r="H23" s="39"/>
      <c r="I23" s="39"/>
      <c r="J23" s="39"/>
      <c r="K23" s="39"/>
    </row>
    <row r="24" spans="1:11">
      <c r="A24" s="39"/>
      <c r="B24" s="39"/>
      <c r="C24" s="39"/>
      <c r="D24" s="39"/>
      <c r="E24" s="39"/>
      <c r="F24" s="39"/>
      <c r="G24" s="39"/>
      <c r="H24" s="39"/>
      <c r="I24" s="39"/>
      <c r="J24" s="39"/>
      <c r="K24" s="39"/>
    </row>
    <row r="25" spans="1:11">
      <c r="B25" s="39"/>
      <c r="C25" s="39"/>
      <c r="D25" s="39"/>
      <c r="E25" s="39"/>
      <c r="F25" s="39"/>
      <c r="G25" s="39"/>
      <c r="H25" s="39"/>
      <c r="I25" s="39"/>
      <c r="J25" s="39"/>
      <c r="K25" s="39"/>
    </row>
    <row r="27" spans="1:11" ht="20.25">
      <c r="A27" s="105" t="s">
        <v>198</v>
      </c>
    </row>
    <row r="28" spans="1:11" ht="15">
      <c r="A28" s="109" t="s">
        <v>207</v>
      </c>
    </row>
    <row r="29" spans="1:11" s="14" customFormat="1" ht="15">
      <c r="A29" s="109" t="s">
        <v>199</v>
      </c>
    </row>
    <row r="30" spans="1:11" ht="15">
      <c r="A30" s="106" t="s">
        <v>200</v>
      </c>
    </row>
    <row r="31" spans="1:11" ht="15">
      <c r="A31" s="106" t="s">
        <v>201</v>
      </c>
    </row>
    <row r="32" spans="1:11">
      <c r="A32" s="72"/>
    </row>
    <row r="33" spans="1:18" ht="20.25">
      <c r="A33" s="105" t="s">
        <v>136</v>
      </c>
      <c r="B33" s="3"/>
    </row>
    <row r="34" spans="1:18" ht="15">
      <c r="A34" s="112">
        <v>1</v>
      </c>
      <c r="B34" s="73" t="s">
        <v>152</v>
      </c>
    </row>
    <row r="35" spans="1:18">
      <c r="B35" s="73"/>
    </row>
    <row r="36" spans="1:18" ht="20.25">
      <c r="A36" s="105" t="s">
        <v>187</v>
      </c>
      <c r="B36" s="3"/>
      <c r="C36" s="14"/>
    </row>
    <row r="37" spans="1:18" ht="15">
      <c r="A37" s="113">
        <v>1</v>
      </c>
      <c r="B37" s="84" t="s">
        <v>208</v>
      </c>
      <c r="C37" s="73"/>
      <c r="D37" s="73"/>
      <c r="E37" s="73"/>
      <c r="F37" s="73"/>
      <c r="G37" s="73"/>
      <c r="H37" s="73"/>
      <c r="I37" s="73"/>
      <c r="J37" s="73"/>
      <c r="K37" s="73"/>
      <c r="L37" s="73"/>
      <c r="M37" s="73"/>
      <c r="N37" s="73"/>
      <c r="O37" s="73"/>
      <c r="P37" s="73"/>
      <c r="Q37" s="73"/>
      <c r="R37" s="73"/>
    </row>
  </sheetData>
  <phoneticPr fontId="51" type="noConversion"/>
  <pageMargins left="0.7" right="0.7" top="0.75" bottom="0.75" header="0.3" footer="0.3"/>
  <pageSetup scale="56" fitToHeight="0" orientation="portrait" r:id="rId1"/>
  <headerFooter>
    <oddHeader>&amp;LDSI Timing Parameters</oddHeader>
    <oddFooter>&amp;C&amp;"Arial,Bold" MAY CONTAIN U.S. AND INTERNATIONAL EXPORT CONTROLLED INFORMATION&amp;R&amp;8&amp;P</oddFooter>
  </headerFooter>
</worksheet>
</file>

<file path=xl/worksheets/sheet4.xml><?xml version="1.0" encoding="utf-8"?>
<worksheet xmlns="http://schemas.openxmlformats.org/spreadsheetml/2006/main" xmlns:r="http://schemas.openxmlformats.org/officeDocument/2006/relationships">
  <sheetPr codeName="Sheet1">
    <pageSetUpPr fitToPage="1"/>
  </sheetPr>
  <dimension ref="B1:N105"/>
  <sheetViews>
    <sheetView tabSelected="1" view="pageLayout" topLeftCell="A13" zoomScale="120" zoomScaleNormal="50" zoomScalePageLayoutView="120" workbookViewId="0">
      <selection activeCell="E23" sqref="E23"/>
    </sheetView>
  </sheetViews>
  <sheetFormatPr defaultColWidth="9.140625" defaultRowHeight="12.75"/>
  <cols>
    <col min="1" max="1" width="3.28515625" style="14" customWidth="1"/>
    <col min="2" max="2" width="59.28515625" style="14" customWidth="1"/>
    <col min="3" max="3" width="14.7109375" style="14" customWidth="1"/>
    <col min="4" max="4" width="15.7109375" style="14" customWidth="1"/>
    <col min="5" max="5" width="10.28515625" style="14" customWidth="1"/>
    <col min="6" max="6" width="15" style="14" customWidth="1"/>
    <col min="7" max="10" width="9.140625" style="14"/>
    <col min="11" max="11" width="19.140625" style="14" customWidth="1"/>
    <col min="12" max="12" width="10" style="14" bestFit="1" customWidth="1"/>
    <col min="13" max="13" width="11" style="14" customWidth="1"/>
    <col min="14" max="14" width="12.85546875" style="14" customWidth="1"/>
    <col min="15" max="16384" width="9.140625" style="14"/>
  </cols>
  <sheetData>
    <row r="1" spans="2:14" ht="18">
      <c r="B1" s="66" t="s">
        <v>127</v>
      </c>
      <c r="C1" s="66"/>
      <c r="K1" s="65"/>
      <c r="L1" s="65"/>
      <c r="M1" s="62"/>
      <c r="N1" s="62"/>
    </row>
    <row r="2" spans="2:14">
      <c r="B2" s="58" t="s">
        <v>126</v>
      </c>
      <c r="C2" s="59">
        <v>60</v>
      </c>
      <c r="D2" s="14" t="s">
        <v>68</v>
      </c>
    </row>
    <row r="3" spans="2:14">
      <c r="B3" s="58" t="s">
        <v>125</v>
      </c>
      <c r="C3" s="59">
        <v>4</v>
      </c>
      <c r="D3" s="14" t="s">
        <v>29</v>
      </c>
    </row>
    <row r="4" spans="2:14">
      <c r="B4" s="58" t="s">
        <v>124</v>
      </c>
      <c r="C4" s="59">
        <v>3</v>
      </c>
      <c r="D4" s="14" t="s">
        <v>28</v>
      </c>
    </row>
    <row r="5" spans="2:14" ht="15">
      <c r="C5" s="60"/>
    </row>
    <row r="6" spans="2:14">
      <c r="B6" s="14" t="s">
        <v>123</v>
      </c>
      <c r="C6" s="61">
        <f>C8</f>
        <v>1080</v>
      </c>
      <c r="D6" s="1" t="s">
        <v>12</v>
      </c>
      <c r="E6" s="14" t="s">
        <v>13</v>
      </c>
      <c r="K6" s="64"/>
      <c r="L6" s="62"/>
      <c r="M6" s="62"/>
      <c r="N6" s="62"/>
    </row>
    <row r="7" spans="2:14">
      <c r="B7" s="14" t="s">
        <v>122</v>
      </c>
      <c r="C7" s="61">
        <f>C9</f>
        <v>1920</v>
      </c>
      <c r="D7" s="1" t="s">
        <v>14</v>
      </c>
      <c r="E7" s="14" t="s">
        <v>13</v>
      </c>
      <c r="K7" s="62"/>
      <c r="L7" s="62"/>
      <c r="M7" s="62"/>
      <c r="N7" s="62"/>
    </row>
    <row r="8" spans="2:14">
      <c r="B8" s="58" t="s">
        <v>121</v>
      </c>
      <c r="C8" s="59">
        <v>1080</v>
      </c>
      <c r="D8" s="1" t="s">
        <v>12</v>
      </c>
      <c r="E8" s="14" t="s">
        <v>16</v>
      </c>
      <c r="K8" s="62"/>
      <c r="L8" s="62"/>
      <c r="M8" s="62"/>
      <c r="N8" s="62"/>
    </row>
    <row r="9" spans="2:14">
      <c r="B9" s="58" t="s">
        <v>120</v>
      </c>
      <c r="C9" s="59">
        <v>1920</v>
      </c>
      <c r="D9" s="1" t="s">
        <v>14</v>
      </c>
      <c r="E9" s="14" t="s">
        <v>16</v>
      </c>
      <c r="K9" s="62"/>
      <c r="L9" s="62"/>
      <c r="M9" s="62"/>
      <c r="N9" s="62"/>
    </row>
    <row r="10" spans="2:14" ht="15">
      <c r="C10" s="60"/>
      <c r="D10" s="1"/>
      <c r="K10" s="62"/>
      <c r="L10" s="62"/>
      <c r="M10" s="62"/>
      <c r="N10" s="62"/>
    </row>
    <row r="11" spans="2:14">
      <c r="B11" s="58" t="s">
        <v>119</v>
      </c>
      <c r="C11" s="59">
        <v>4</v>
      </c>
      <c r="D11" s="1" t="s">
        <v>62</v>
      </c>
      <c r="E11" s="56" t="s">
        <v>115</v>
      </c>
      <c r="K11" s="64"/>
      <c r="L11" s="62"/>
      <c r="M11" s="62"/>
      <c r="N11" s="62"/>
    </row>
    <row r="12" spans="2:14">
      <c r="B12" s="58" t="s">
        <v>118</v>
      </c>
      <c r="C12" s="59">
        <v>32</v>
      </c>
      <c r="D12" s="1" t="s">
        <v>62</v>
      </c>
      <c r="E12" s="56" t="s">
        <v>115</v>
      </c>
      <c r="K12" s="64"/>
      <c r="L12" s="62"/>
      <c r="M12" s="62"/>
      <c r="N12" s="62"/>
    </row>
    <row r="13" spans="2:14">
      <c r="B13" s="14" t="s">
        <v>117</v>
      </c>
      <c r="C13" s="61">
        <f>C11+C12</f>
        <v>36</v>
      </c>
      <c r="D13" s="1" t="s">
        <v>62</v>
      </c>
      <c r="K13" s="62"/>
      <c r="L13" s="63"/>
      <c r="M13" s="62"/>
      <c r="N13" s="62"/>
    </row>
    <row r="14" spans="2:14">
      <c r="B14" s="58" t="s">
        <v>116</v>
      </c>
      <c r="C14" s="59">
        <v>32</v>
      </c>
      <c r="D14" s="1" t="s">
        <v>62</v>
      </c>
      <c r="E14" s="56" t="s">
        <v>115</v>
      </c>
      <c r="K14" s="62"/>
      <c r="L14" s="63"/>
      <c r="M14" s="62"/>
      <c r="N14" s="62"/>
    </row>
    <row r="15" spans="2:14" ht="15">
      <c r="C15" s="60"/>
      <c r="D15" s="1"/>
    </row>
    <row r="16" spans="2:14">
      <c r="B16" s="58" t="s">
        <v>21</v>
      </c>
      <c r="C16" s="59">
        <v>2</v>
      </c>
      <c r="D16" s="1" t="s">
        <v>14</v>
      </c>
    </row>
    <row r="17" spans="2:7">
      <c r="B17" s="58" t="s">
        <v>22</v>
      </c>
      <c r="C17" s="59">
        <v>16</v>
      </c>
      <c r="D17" s="1" t="s">
        <v>14</v>
      </c>
    </row>
    <row r="18" spans="2:7">
      <c r="B18" s="14" t="s">
        <v>65</v>
      </c>
      <c r="C18" s="61">
        <f>C16+C17</f>
        <v>18</v>
      </c>
      <c r="D18" s="1" t="s">
        <v>14</v>
      </c>
    </row>
    <row r="19" spans="2:7">
      <c r="B19" s="58" t="s">
        <v>23</v>
      </c>
      <c r="C19" s="59">
        <v>16</v>
      </c>
      <c r="D19" s="1" t="s">
        <v>14</v>
      </c>
    </row>
    <row r="20" spans="2:7" ht="15">
      <c r="B20" s="55"/>
      <c r="C20" s="60"/>
      <c r="D20" s="1"/>
    </row>
    <row r="21" spans="2:7">
      <c r="B21" s="58" t="s">
        <v>173</v>
      </c>
      <c r="C21" s="59">
        <v>19.2</v>
      </c>
      <c r="D21" s="1" t="s">
        <v>15</v>
      </c>
    </row>
    <row r="22" spans="2:7">
      <c r="B22" s="58" t="s">
        <v>96</v>
      </c>
      <c r="C22" s="58">
        <v>1</v>
      </c>
      <c r="D22" s="1"/>
    </row>
    <row r="23" spans="2:7">
      <c r="B23" s="55"/>
      <c r="C23" s="55"/>
      <c r="D23" s="1"/>
    </row>
    <row r="24" spans="2:7">
      <c r="B24" s="58" t="s">
        <v>181</v>
      </c>
      <c r="C24" s="58" t="s">
        <v>195</v>
      </c>
      <c r="D24" s="1"/>
    </row>
    <row r="25" spans="2:7">
      <c r="B25" s="39" t="s">
        <v>180</v>
      </c>
      <c r="C25" s="39">
        <f>IF(C24="8x96", 2, 1)</f>
        <v>2</v>
      </c>
      <c r="D25" s="1"/>
    </row>
    <row r="26" spans="2:7" hidden="1">
      <c r="B26" s="78" t="s">
        <v>79</v>
      </c>
      <c r="C26" s="79"/>
      <c r="D26" s="57"/>
      <c r="E26" s="11"/>
      <c r="F26" s="11"/>
      <c r="G26" s="11"/>
    </row>
    <row r="27" spans="2:7" hidden="1">
      <c r="B27" s="85" t="s">
        <v>114</v>
      </c>
      <c r="C27" s="79"/>
      <c r="D27" s="57"/>
      <c r="E27" s="11"/>
      <c r="F27" s="11"/>
      <c r="G27" s="11"/>
    </row>
    <row r="28" spans="2:7">
      <c r="B28" s="58"/>
      <c r="C28" s="58"/>
      <c r="D28" s="1"/>
    </row>
    <row r="29" spans="2:7">
      <c r="B29" s="58"/>
      <c r="C29" s="58"/>
      <c r="D29" s="1"/>
    </row>
    <row r="31" spans="2:7" ht="18">
      <c r="B31" s="50" t="s">
        <v>52</v>
      </c>
      <c r="C31" s="54"/>
    </row>
    <row r="33" spans="2:4">
      <c r="B33" s="44" t="s">
        <v>17</v>
      </c>
      <c r="C33" s="44">
        <f>SUM(C6,C11,C12,C14)</f>
        <v>1148</v>
      </c>
      <c r="D33" s="44" t="s">
        <v>18</v>
      </c>
    </row>
    <row r="34" spans="2:4">
      <c r="B34" s="44" t="s">
        <v>19</v>
      </c>
      <c r="C34" s="44">
        <f>SUM(C7,C16,C17,C19)</f>
        <v>1954</v>
      </c>
      <c r="D34" s="44" t="s">
        <v>20</v>
      </c>
    </row>
    <row r="35" spans="2:4">
      <c r="B35" s="44" t="s">
        <v>66</v>
      </c>
      <c r="C35" s="45">
        <f>(C33*C34)/(C6*C7)</f>
        <v>1.0817862654320987</v>
      </c>
    </row>
    <row r="37" spans="2:4">
      <c r="B37" s="2" t="s">
        <v>24</v>
      </c>
      <c r="C37" s="2" t="s">
        <v>25</v>
      </c>
    </row>
    <row r="38" spans="2:4">
      <c r="B38" s="3" t="s">
        <v>53</v>
      </c>
      <c r="C38" s="53" t="str">
        <f>DEC2HEX(C33*2^16 + C11)</f>
        <v>47C0004</v>
      </c>
    </row>
    <row r="39" spans="2:4">
      <c r="B39" s="3" t="s">
        <v>54</v>
      </c>
      <c r="C39" s="7" t="str">
        <f>DEC2HEX(C34*C33)</f>
        <v>223A78</v>
      </c>
    </row>
    <row r="40" spans="2:4">
      <c r="B40" s="3" t="s">
        <v>55</v>
      </c>
      <c r="C40" s="7" t="str">
        <f>DEC2HEX(C16*C33)</f>
        <v>8F8</v>
      </c>
    </row>
    <row r="41" spans="2:4">
      <c r="B41" s="3" t="s">
        <v>56</v>
      </c>
      <c r="C41" s="7" t="str">
        <f>DEC2HEX((C33-C14-1)*2^16 + C13)</f>
        <v>45B0024</v>
      </c>
    </row>
    <row r="42" spans="2:4">
      <c r="B42" s="3" t="s">
        <v>57</v>
      </c>
      <c r="C42" s="7" t="str">
        <f>DEC2HEX(C18*C33)</f>
        <v>50B8</v>
      </c>
    </row>
    <row r="43" spans="2:4">
      <c r="B43" s="3" t="s">
        <v>58</v>
      </c>
      <c r="C43" s="7" t="str">
        <f>DEC2HEX((C34-C19)*C33 - 1)</f>
        <v>21F2B7</v>
      </c>
    </row>
    <row r="44" spans="2:4">
      <c r="B44" s="3" t="s">
        <v>59</v>
      </c>
      <c r="C44" s="7">
        <f>IF(C6&gt;C8,DEC2HEX( 1*2^31 + (C13+INT((C6-C8)/2) + C8-1)*2^16 + C13+INT((C6-C8)/2)), 0)</f>
        <v>0</v>
      </c>
      <c r="D44" s="127" t="s">
        <v>26</v>
      </c>
    </row>
    <row r="45" spans="2:4">
      <c r="B45" s="3" t="s">
        <v>60</v>
      </c>
      <c r="C45" s="7">
        <f>IF(C7&gt;C9,DEC2HEX( 1*2^31 + (C18+INT((C7-C9)/2))*C33), 0)</f>
        <v>0</v>
      </c>
      <c r="D45" s="127"/>
    </row>
    <row r="46" spans="2:4">
      <c r="B46" s="3" t="s">
        <v>61</v>
      </c>
      <c r="C46" s="7">
        <f>IF(C7&gt;C9,DEC2HEX(( C18+INT((C7-C9)/2)+C9)*C33 - 1), 0)</f>
        <v>0</v>
      </c>
      <c r="D46" s="127"/>
    </row>
    <row r="48" spans="2:4" ht="18">
      <c r="B48" s="50" t="s">
        <v>77</v>
      </c>
    </row>
    <row r="49" spans="2:3">
      <c r="B49" s="44"/>
      <c r="C49" s="44" t="s">
        <v>113</v>
      </c>
    </row>
    <row r="50" spans="2:3">
      <c r="B50" s="44" t="s">
        <v>0</v>
      </c>
      <c r="C50" s="52">
        <v>0</v>
      </c>
    </row>
    <row r="51" spans="2:3">
      <c r="B51" s="44" t="s">
        <v>1</v>
      </c>
      <c r="C51" s="52">
        <f>C11</f>
        <v>4</v>
      </c>
    </row>
    <row r="52" spans="2:3">
      <c r="B52" s="44" t="s">
        <v>2</v>
      </c>
      <c r="C52" s="52">
        <v>0</v>
      </c>
    </row>
    <row r="53" spans="2:3">
      <c r="B53" s="44" t="s">
        <v>3</v>
      </c>
      <c r="C53" s="52">
        <v>0</v>
      </c>
    </row>
    <row r="54" spans="2:3">
      <c r="B54" s="44" t="s">
        <v>4</v>
      </c>
      <c r="C54" s="52">
        <v>0</v>
      </c>
    </row>
    <row r="55" spans="2:3">
      <c r="B55" s="44" t="s">
        <v>5</v>
      </c>
      <c r="C55" s="52">
        <f>C16</f>
        <v>2</v>
      </c>
    </row>
    <row r="56" spans="2:3">
      <c r="B56" s="44" t="s">
        <v>6</v>
      </c>
      <c r="C56" s="52">
        <f>C8+C11+C12+C14-1</f>
        <v>1147</v>
      </c>
    </row>
    <row r="57" spans="2:3">
      <c r="B57" s="44" t="s">
        <v>7</v>
      </c>
      <c r="C57" s="52">
        <f>C16+C17+C19+C9-1</f>
        <v>1953</v>
      </c>
    </row>
    <row r="58" spans="2:3">
      <c r="B58" s="44" t="s">
        <v>8</v>
      </c>
      <c r="C58" s="52">
        <f>C11+C12</f>
        <v>36</v>
      </c>
    </row>
    <row r="59" spans="2:3">
      <c r="B59" s="44" t="s">
        <v>9</v>
      </c>
      <c r="C59" s="52">
        <f>C11+C12+C8</f>
        <v>1116</v>
      </c>
    </row>
    <row r="60" spans="2:3">
      <c r="B60" s="44" t="s">
        <v>10</v>
      </c>
      <c r="C60" s="52">
        <f>C16+C17</f>
        <v>18</v>
      </c>
    </row>
    <row r="61" spans="2:3">
      <c r="B61" s="44" t="s">
        <v>11</v>
      </c>
      <c r="C61" s="52">
        <f>C9+C16+C17</f>
        <v>1938</v>
      </c>
    </row>
    <row r="62" spans="2:3">
      <c r="B62" s="44"/>
      <c r="C62" s="52"/>
    </row>
    <row r="63" spans="2:3">
      <c r="B63" s="2" t="s">
        <v>24</v>
      </c>
      <c r="C63" s="2" t="s">
        <v>25</v>
      </c>
    </row>
    <row r="64" spans="2:3">
      <c r="B64" s="3" t="s">
        <v>72</v>
      </c>
      <c r="C64" s="7" t="str">
        <f>DEC2HEX(C59*2^16 + C58)</f>
        <v>45C0024</v>
      </c>
    </row>
    <row r="65" spans="2:3">
      <c r="B65" s="3" t="s">
        <v>73</v>
      </c>
      <c r="C65" s="7" t="str">
        <f>DEC2HEX(C61*2^16+C60)</f>
        <v>7920012</v>
      </c>
    </row>
    <row r="66" spans="2:3">
      <c r="B66" s="3" t="s">
        <v>74</v>
      </c>
      <c r="C66" s="7" t="str">
        <f>DEC2HEX(C57*2^16 + C56)</f>
        <v>7A1047B</v>
      </c>
    </row>
    <row r="67" spans="2:3">
      <c r="B67" s="3" t="s">
        <v>84</v>
      </c>
      <c r="C67" s="7" t="str">
        <f>DEC2HEX(C51*2^16+C50)</f>
        <v>40000</v>
      </c>
    </row>
    <row r="68" spans="2:3">
      <c r="B68" s="3" t="s">
        <v>75</v>
      </c>
      <c r="C68" s="7" t="str">
        <f>DEC2HEX(C53*2^16+C52)</f>
        <v>0</v>
      </c>
    </row>
    <row r="69" spans="2:3">
      <c r="B69" s="3" t="s">
        <v>76</v>
      </c>
      <c r="C69" s="7" t="str">
        <f>DEC2HEX(C55*2^16+C54)</f>
        <v>20000</v>
      </c>
    </row>
    <row r="70" spans="2:3">
      <c r="C70" s="51"/>
    </row>
    <row r="71" spans="2:3">
      <c r="B71" s="3" t="str">
        <f>'DSI PHY timing setting'!A42</f>
        <v>DSI_CLKOUT_TIMING_CTRL</v>
      </c>
      <c r="C71" s="7" t="str">
        <f>IF(PHY_MAJOR_VERSION&lt;2, 'DSI PHY timing setting'!B42, 'DSI PHY 2.0.0 timing setting'!B52)</f>
        <v>D2D</v>
      </c>
    </row>
    <row r="72" spans="2:3">
      <c r="B72" s="3" t="str">
        <f>'DSI PHY timing setting'!A43</f>
        <v xml:space="preserve">DSI_TEST_PATTERN_GEN_VIDEO_ENABLE </v>
      </c>
      <c r="C72" s="7">
        <f>IF(PHY_MAJOR_VERSION&lt;2, 'DSI PHY timing setting'!B43, 'DSI PHY 2.0.0 timing setting'!B53)</f>
        <v>0</v>
      </c>
    </row>
    <row r="73" spans="2:3">
      <c r="B73" s="3"/>
      <c r="C73" s="7"/>
    </row>
    <row r="74" spans="2:3" ht="18">
      <c r="B74" s="50" t="s">
        <v>83</v>
      </c>
      <c r="C74" s="7"/>
    </row>
    <row r="75" spans="2:3">
      <c r="B75" s="10" t="str">
        <f>IF(PHY_MAJOR_VERSION&lt;2, 'DSI PHY timing setting'!A28, 'DSI PHY 2.0.0 timing setting'!A33)</f>
        <v>PHY 2.x.x. Registers</v>
      </c>
      <c r="C75" s="10" t="str">
        <f>IF(PHY_MAJOR_VERSION&lt;2, 'DSI PHY timing setting'!B28, 'DSI PHY 2.0.0 timing setting'!B33)</f>
        <v>value in hex</v>
      </c>
    </row>
    <row r="76" spans="2:3">
      <c r="B76" s="10" t="str">
        <f>IF(PHY_MAJOR_VERSION&lt;2, 'DSI PHY timing setting'!A29, 'DSI PHY 2.0.0 timing setting'!A34)</f>
        <v>DSIPHY_CKLN_TIMING_CTRL_4</v>
      </c>
      <c r="C76" s="10" t="str">
        <f>IF(PHY_MAJOR_VERSION&lt;2, 'DSI PHY timing setting'!B29, 'DSI PHY 2.0.0 timing setting'!B34)</f>
        <v>23</v>
      </c>
    </row>
    <row r="77" spans="2:3">
      <c r="B77" s="10" t="str">
        <f>IF(PHY_MAJOR_VERSION&lt;2, 'DSI PHY timing setting'!A30, 'DSI PHY 2.0.0 timing setting'!A35)</f>
        <v>DSIPHY_CKLN_TIMING_CTRL_5</v>
      </c>
      <c r="C77" s="10" t="str">
        <f>IF(PHY_MAJOR_VERSION&lt;2, 'DSI PHY timing setting'!B30, 'DSI PHY 2.0.0 timing setting'!B35)</f>
        <v>18</v>
      </c>
    </row>
    <row r="78" spans="2:3">
      <c r="B78" s="10" t="str">
        <f>IF(PHY_MAJOR_VERSION&lt;2, 'DSI PHY timing setting'!A31, 'DSI PHY 2.0.0 timing setting'!A36)</f>
        <v>DSIPHY_CKLN_TIMING_CTRL_6</v>
      </c>
      <c r="C78" s="10" t="str">
        <f>IF(PHY_MAJOR_VERSION&lt;2, 'DSI PHY timing setting'!B31, 'DSI PHY 2.0.0 timing setting'!B36)</f>
        <v>7</v>
      </c>
    </row>
    <row r="79" spans="2:3">
      <c r="B79" s="10" t="str">
        <f>IF(PHY_MAJOR_VERSION&lt;2, 'DSI PHY timing setting'!A32, 'DSI PHY 2.0.0 timing setting'!A37)</f>
        <v>DSIPHY_CKLN_CFG1.DSIPHY_HSTX_HALFBYTECLK_EN</v>
      </c>
      <c r="C79" s="10" t="str">
        <f>IF(PHY_MAJOR_VERSION&lt;2, 'DSI PHY timing setting'!B32, 'DSI PHY 2.0.0 timing setting'!B37)</f>
        <v>0</v>
      </c>
    </row>
    <row r="80" spans="2:3">
      <c r="B80" s="10" t="str">
        <f>IF(PHY_MAJOR_VERSION&lt;2, 'DSI PHY timing setting'!A33, 'DSI PHY 2.0.0 timing setting'!A38)</f>
        <v>DSIPHY_CKLN_TIMING_CTRL_7</v>
      </c>
      <c r="C80" s="10" t="str">
        <f>IF(PHY_MAJOR_VERSION&lt;2, 'DSI PHY timing setting'!B33, 'DSI PHY 2.0.0 timing setting'!B38)</f>
        <v>8</v>
      </c>
    </row>
    <row r="81" spans="2:6">
      <c r="B81" s="10" t="str">
        <f>IF(PHY_MAJOR_VERSION&lt;2, 'DSI PHY timing setting'!A34, 'DSI PHY 2.0.0 timing setting'!A39)</f>
        <v>DSIPHY_CKLN_TIMING_CTRL_8</v>
      </c>
      <c r="C81" s="10" t="str">
        <f>IF(PHY_MAJOR_VERSION&lt;2, 'DSI PHY timing setting'!B34, 'DSI PHY 2.0.0 timing setting'!B39)</f>
        <v>5</v>
      </c>
    </row>
    <row r="82" spans="2:6">
      <c r="B82" s="10" t="str">
        <f>IF(PHY_MAJOR_VERSION&lt;2, 'DSI PHY timing setting'!A35, 'DSI PHY 2.0.0 timing setting'!A40)</f>
        <v>DSIPHY_DLN[0123]_TIMING_CTRL_4</v>
      </c>
      <c r="C82" s="10" t="str">
        <f>IF(PHY_MAJOR_VERSION&lt;2, 'DSI PHY timing setting'!B35, 'DSI PHY 2.0.0 timing setting'!B40)</f>
        <v>23</v>
      </c>
    </row>
    <row r="83" spans="2:6">
      <c r="B83" s="10" t="str">
        <f>IF(PHY_MAJOR_VERSION&lt;2, 'DSI PHY timing setting'!A36, 'DSI PHY 2.0.0 timing setting'!A41)</f>
        <v>DSIPHY_DLN[0123]_TIMING_CTRL_5</v>
      </c>
      <c r="C83" s="10" t="str">
        <f>IF(PHY_MAJOR_VERSION&lt;2, 'DSI PHY timing setting'!B36, 'DSI PHY 2.0.0 timing setting'!B41)</f>
        <v>1E</v>
      </c>
    </row>
    <row r="84" spans="2:6">
      <c r="B84" s="10" t="str">
        <f>IF(PHY_MAJOR_VERSION&lt;2, 'DSI PHY timing setting'!A37, 'DSI PHY 2.0.0 timing setting'!A42)</f>
        <v>DSIPHY_DLN[0123]_TIMING_CTRL_6</v>
      </c>
      <c r="C84" s="10" t="str">
        <f>IF(PHY_MAJOR_VERSION&lt;2, 'DSI PHY timing setting'!B37, 'DSI PHY 2.0.0 timing setting'!B42)</f>
        <v>7</v>
      </c>
    </row>
    <row r="85" spans="2:6">
      <c r="B85" s="10" t="str">
        <f>IF(PHY_MAJOR_VERSION&lt;2, 'DSI PHY timing setting'!A38, 'DSI PHY 2.0.0 timing setting'!A43)</f>
        <v>DSIPHY_DLN[0123]_TIMING_CTRL_7</v>
      </c>
      <c r="C85" s="10" t="str">
        <f>IF(PHY_MAJOR_VERSION&lt;2, 'DSI PHY timing setting'!B38, 'DSI PHY 2.0.0 timing setting'!B43)</f>
        <v>8</v>
      </c>
    </row>
    <row r="86" spans="2:6">
      <c r="B86" s="10" t="str">
        <f>IF(PHY_MAJOR_VERSION&lt;2, 'DSI PHY timing setting'!A39, 'DSI PHY 2.0.0 timing setting'!A44)</f>
        <v>DSIPHY_DLN[0123]_TIMING_CTRL_8</v>
      </c>
      <c r="C86" s="10" t="str">
        <f>IF(PHY_MAJOR_VERSION&lt;2, 'DSI PHY timing setting'!B39, 'DSI PHY 2.0.0 timing setting'!B44)</f>
        <v>5</v>
      </c>
    </row>
    <row r="87" spans="2:6">
      <c r="B87" s="10" t="str">
        <f>IF(PHY_MAJOR_VERSION&lt;2, "", 'DSI PHY 2.0.0 timing setting'!A45)</f>
        <v>DSIPHY_DLN[0123]_CFG1.DSIPHY_HSTX_HALFBYTECLK_EN</v>
      </c>
      <c r="C87" s="10" t="str">
        <f>IF(PHY_MAJOR_VERSION&lt;2, "", 'DSI PHY 2.0.0 timing setting'!B45)</f>
        <v>0</v>
      </c>
    </row>
    <row r="88" spans="2:6">
      <c r="B88" s="10" t="str">
        <f>IF(PHY_MAJOR_VERSION&lt;2, "", 'DSI PHY 2.0.0 timing setting'!A46)</f>
        <v>DSIPHY_DLN[0123]_TIMING_CTRL_9</v>
      </c>
      <c r="C88" s="10" t="str">
        <f>IF(PHY_MAJOR_VERSION&lt;2, "", 'DSI PHY 2.0.0 timing setting'!B46)</f>
        <v>3</v>
      </c>
    </row>
    <row r="89" spans="2:6">
      <c r="B89" s="10" t="str">
        <f>IF(PHY_MAJOR_VERSION&lt;2, "", 'DSI PHY 2.0.0 timing setting'!A47)</f>
        <v>DSIPHY_DLN[0123]_TIMING_CTRL_10</v>
      </c>
      <c r="C89" s="10" t="str">
        <f>IF(PHY_MAJOR_VERSION&lt;2, "", 'DSI PHY 2.0.0 timing setting'!B47)</f>
        <v>4</v>
      </c>
    </row>
    <row r="90" spans="2:6">
      <c r="B90" s="10" t="str">
        <f>IF(PHY_MAJOR_VERSION&lt;2, "", 'DSI PHY 2.0.0 timing setting'!A48)</f>
        <v>DSIPHY_CKLN_CFG0.DSIPHY_HSTX_PREPARE_DLY</v>
      </c>
      <c r="C90" s="10">
        <f>IF(PHY_MAJOR_VERSION&lt;2, "", 'DSI PHY 2.0.0 timing setting'!B48)</f>
        <v>0</v>
      </c>
    </row>
    <row r="91" spans="2:6">
      <c r="B91" s="10" t="str">
        <f>IF(PHY_MAJOR_VERSION&lt;2, "", 'DSI PHY 2.0.0 timing setting'!A49)</f>
        <v>DSIPHY_DLN[0123]_CFG0.DSIPHY_HSTX_PREPARE_DLY</v>
      </c>
      <c r="C91" s="10">
        <f>IF(PHY_MAJOR_VERSION&lt;2, "", 'DSI PHY 2.0.0 timing setting'!B49)</f>
        <v>0</v>
      </c>
    </row>
    <row r="93" spans="2:6" ht="23.25">
      <c r="B93" s="49" t="s">
        <v>27</v>
      </c>
      <c r="C93" s="3"/>
    </row>
    <row r="94" spans="2:6">
      <c r="B94" s="14" t="s">
        <v>85</v>
      </c>
      <c r="C94" s="9">
        <f>C33*C34*C2*C4*8*0.000001/C3</f>
        <v>807.54912000000002</v>
      </c>
      <c r="D94" s="14" t="s">
        <v>15</v>
      </c>
    </row>
    <row r="95" spans="2:6">
      <c r="B95" s="14" t="s">
        <v>86</v>
      </c>
      <c r="C95" s="9">
        <f>C94/8</f>
        <v>100.94364</v>
      </c>
      <c r="D95" s="14" t="s">
        <v>15</v>
      </c>
    </row>
    <row r="96" spans="2:6" hidden="1">
      <c r="B96" s="14" t="s">
        <v>87</v>
      </c>
      <c r="C96" s="9">
        <f>C95*C3</f>
        <v>403.77456000000001</v>
      </c>
      <c r="D96" s="14" t="s">
        <v>15</v>
      </c>
      <c r="E96" s="48"/>
      <c r="F96" s="48"/>
    </row>
    <row r="97" spans="2:4">
      <c r="B97" s="14" t="s">
        <v>88</v>
      </c>
      <c r="C97" s="9">
        <f>C96/C4</f>
        <v>134.59152</v>
      </c>
      <c r="D97" s="14" t="s">
        <v>15</v>
      </c>
    </row>
    <row r="98" spans="2:4">
      <c r="C98" s="9"/>
    </row>
    <row r="99" spans="2:4">
      <c r="C99" s="47"/>
    </row>
    <row r="100" spans="2:4">
      <c r="B100" s="46" t="s">
        <v>71</v>
      </c>
      <c r="C100" s="44"/>
      <c r="D100" s="44"/>
    </row>
    <row r="101" spans="2:4">
      <c r="B101" s="44" t="s">
        <v>69</v>
      </c>
      <c r="C101" s="44">
        <f>(C35-1)*100</f>
        <v>8.1786265432098659</v>
      </c>
      <c r="D101" s="44" t="s">
        <v>70</v>
      </c>
    </row>
    <row r="102" spans="2:4">
      <c r="B102" s="44" t="s">
        <v>112</v>
      </c>
      <c r="C102" s="45">
        <f>C33/C97</f>
        <v>8.5295121119071986</v>
      </c>
      <c r="D102" s="44" t="s">
        <v>151</v>
      </c>
    </row>
    <row r="103" spans="2:4">
      <c r="B103" s="44" t="s">
        <v>67</v>
      </c>
      <c r="C103" s="45">
        <f>C13/C97</f>
        <v>0.26747598957200275</v>
      </c>
      <c r="D103" s="44" t="s">
        <v>151</v>
      </c>
    </row>
    <row r="104" spans="2:4">
      <c r="B104" s="44" t="s">
        <v>30</v>
      </c>
      <c r="C104" s="45">
        <f>C6/C97</f>
        <v>8.0242796871600817</v>
      </c>
      <c r="D104" s="44" t="s">
        <v>151</v>
      </c>
    </row>
    <row r="105" spans="2:4">
      <c r="B105" s="44" t="s">
        <v>31</v>
      </c>
      <c r="C105" s="45">
        <f>C14/C97</f>
        <v>0.23775643517511355</v>
      </c>
      <c r="D105" s="44" t="s">
        <v>151</v>
      </c>
    </row>
  </sheetData>
  <mergeCells count="1">
    <mergeCell ref="D44:D46"/>
  </mergeCells>
  <phoneticPr fontId="51" type="noConversion"/>
  <pageMargins left="0.7" right="0.7" top="0.75" bottom="0.75" header="0.3" footer="0.3"/>
  <pageSetup scale="76" fitToHeight="0" orientation="portrait" r:id="rId1"/>
  <headerFooter>
    <oddHeader>&amp;LDSI Timing Parameters</oddHeader>
    <oddFooter>&amp;C&amp;"Arial,Bold" MAY CONTAIN U.S. AND INTERNATIONAL EXPORT CONTROLLED INFORMATION&amp;R&amp;8&amp;P</oddFooter>
  </headerFooter>
  <rowBreaks count="1" manualBreakCount="1">
    <brk id="46" max="16383" man="1"/>
  </row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'User Instructions'!$B$3:$B$18</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2">
    <pageSetUpPr fitToPage="1"/>
  </sheetPr>
  <dimension ref="A1:I51"/>
  <sheetViews>
    <sheetView showGridLines="0" view="pageLayout" zoomScale="120" zoomScaleNormal="60" zoomScaleSheetLayoutView="100" zoomScalePageLayoutView="120" workbookViewId="0">
      <selection activeCell="G26" sqref="G26:H26"/>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6384" width="9.140625" style="14"/>
  </cols>
  <sheetData>
    <row r="1" spans="1:9" ht="18">
      <c r="A1" s="8" t="s">
        <v>81</v>
      </c>
    </row>
    <row r="2" spans="1:9" ht="18">
      <c r="A2" s="12" t="s">
        <v>128</v>
      </c>
      <c r="B2" s="11"/>
      <c r="G2" s="16"/>
    </row>
    <row r="3" spans="1:9">
      <c r="A3" s="24" t="s">
        <v>97</v>
      </c>
      <c r="B3" s="67">
        <f>ROUNDDOWN('DSI and MDP registers'!C94, 0)</f>
        <v>807</v>
      </c>
      <c r="C3" s="14" t="s">
        <v>98</v>
      </c>
    </row>
    <row r="4" spans="1:9">
      <c r="A4" s="24" t="s">
        <v>33</v>
      </c>
      <c r="B4" s="68">
        <f>'DSI and MDP registers'!C21/'DSI and MDP registers'!C22</f>
        <v>19.2</v>
      </c>
      <c r="C4" s="14" t="s">
        <v>15</v>
      </c>
      <c r="E4" s="31" t="s">
        <v>101</v>
      </c>
      <c r="F4" s="26"/>
      <c r="G4" s="21" t="str">
        <f>IF(MOD(($F$16+$G$10+$F$11),8)=0,"VALID","INVALID")</f>
        <v>INVALID</v>
      </c>
    </row>
    <row r="5" spans="1:9">
      <c r="A5" s="24" t="s">
        <v>36</v>
      </c>
      <c r="B5" s="25">
        <f>10^3/B3</f>
        <v>1.2391573729863692</v>
      </c>
      <c r="C5" s="14" t="s">
        <v>37</v>
      </c>
    </row>
    <row r="6" spans="1:9">
      <c r="A6" s="24" t="s">
        <v>46</v>
      </c>
      <c r="B6" s="18">
        <f>10^3/B4</f>
        <v>52.083333333333336</v>
      </c>
      <c r="C6" s="14" t="s">
        <v>37</v>
      </c>
    </row>
    <row r="7" spans="1:9">
      <c r="A7" s="24" t="s">
        <v>90</v>
      </c>
      <c r="B7" s="26">
        <v>20</v>
      </c>
      <c r="C7" s="14" t="s">
        <v>37</v>
      </c>
    </row>
    <row r="8" spans="1:9">
      <c r="A8" s="29"/>
      <c r="B8" s="128" t="s">
        <v>93</v>
      </c>
      <c r="C8" s="129"/>
      <c r="D8" s="130" t="s">
        <v>78</v>
      </c>
      <c r="E8" s="130"/>
      <c r="F8" s="130"/>
      <c r="G8" s="42" t="s">
        <v>129</v>
      </c>
      <c r="H8" s="131" t="s">
        <v>182</v>
      </c>
      <c r="I8" s="6"/>
    </row>
    <row r="9" spans="1:9" s="3" customFormat="1">
      <c r="A9" s="30"/>
      <c r="B9" s="27" t="s">
        <v>50</v>
      </c>
      <c r="C9" s="19" t="s">
        <v>51</v>
      </c>
      <c r="D9" s="43" t="s">
        <v>63</v>
      </c>
      <c r="E9" s="43" t="s">
        <v>64</v>
      </c>
      <c r="F9" s="20"/>
      <c r="G9" s="42" t="s">
        <v>49</v>
      </c>
      <c r="H9" s="132"/>
      <c r="I9" s="6"/>
    </row>
    <row r="10" spans="1:9">
      <c r="A10" s="30" t="s">
        <v>32</v>
      </c>
      <c r="B10" s="28">
        <v>38</v>
      </c>
      <c r="C10" s="21">
        <v>95</v>
      </c>
      <c r="D10" s="18">
        <f>ROUNDUP(B10/$B$5, 0) - 2</f>
        <v>29</v>
      </c>
      <c r="E10" s="18">
        <f>ROUNDUP(C10/$B$5, 0) - 2</f>
        <v>75</v>
      </c>
      <c r="F10" s="18">
        <f>IF(MOD(ROUNDUP((E10-D10)*($F$48/100)+D10, 0),2)=0, ROUNDUP((E10-D10)*($F$48/100)+D10, 0), ROUNDUP((E10-D10)*($F$48/100)+D10, 0)-1)</f>
        <v>34</v>
      </c>
      <c r="G10" s="22">
        <f>F10</f>
        <v>34</v>
      </c>
      <c r="H10" s="17">
        <f>(QUOTIENT(G10,2)+1)*2*$B$5</f>
        <v>44.609665427509292</v>
      </c>
    </row>
    <row r="11" spans="1:9">
      <c r="A11" s="30" t="s">
        <v>34</v>
      </c>
      <c r="B11" s="28">
        <f>300-H10</f>
        <v>255.3903345724907</v>
      </c>
      <c r="C11" s="21"/>
      <c r="D11" s="18">
        <f>ROUNDUP(B11/$B$5, 0) - 2</f>
        <v>205</v>
      </c>
      <c r="E11" s="18">
        <f>IF(D11&gt; 255, 511, 255)</f>
        <v>255</v>
      </c>
      <c r="F11" s="18">
        <f>IF(MOD(IF(E11=255, ROUNDUP((E11-D11)*($F$50/100)+D11, 0), ROUNDUP(D11*($F$50/100)+D11,0)),2)=0, IF(E11=255, ROUNDUP((E11-D11)*($F$50/100)+D11, 0), ROUNDUP(D11*($F$50/100)+D11,0)), IF(E11=255, ROUNDUP((E11-D11)*($F$50/100)+D11, 0), ROUNDUP(D11*($F$50/100)+D11,0))-1)</f>
        <v>210</v>
      </c>
      <c r="G11" s="22" t="str">
        <f>IF(MOD(($F$16 + $G$10 + $F$11), 8)=0, $F$11, "INVALID")</f>
        <v>INVALID</v>
      </c>
      <c r="H11" s="17" t="e">
        <f>(QUOTIENT(G11,2)+1)*2*$B$5</f>
        <v>#VALUE!</v>
      </c>
    </row>
    <row r="12" spans="1:9">
      <c r="A12" s="30" t="s">
        <v>35</v>
      </c>
      <c r="B12" s="28">
        <v>60</v>
      </c>
      <c r="C12" s="21">
        <f>C22-$B$7</f>
        <v>99.869888475836433</v>
      </c>
      <c r="D12" s="18">
        <f>ROUNDUP(B12/$B$5, 0) - 2</f>
        <v>47</v>
      </c>
      <c r="E12" s="18">
        <f>ROUNDUP(C12/$B$5, 0) - 2</f>
        <v>79</v>
      </c>
      <c r="F12" s="18">
        <f>IF(MOD(ROUNDUP((E12-D12)*($F$51/100)+D12, 0),2)=0, ROUNDUP((E12-D12)*($F$51/100)+D12, 0), ROUNDUP((E12-D12)*($F$51/100)+D12, 0)-1)</f>
        <v>50</v>
      </c>
      <c r="G12" s="22">
        <f>IF(F12 &lt; 0, 0, F12)</f>
        <v>50</v>
      </c>
      <c r="H12" s="17">
        <f t="shared" ref="H12:H17" si="0">(QUOTIENT(G12,2)+1)*2*$B$5</f>
        <v>64.436183395291195</v>
      </c>
    </row>
    <row r="13" spans="1:9">
      <c r="A13" s="30" t="s">
        <v>38</v>
      </c>
      <c r="B13" s="28">
        <f>40+4*B5</f>
        <v>44.956629491945478</v>
      </c>
      <c r="C13" s="21">
        <f>85+6*B5</f>
        <v>92.434944237918216</v>
      </c>
      <c r="D13" s="18">
        <f>ROUNDUP(B13/$B$5, 0) - 2</f>
        <v>35</v>
      </c>
      <c r="E13" s="18">
        <f>ROUNDUP(C13/$B$5, 0) - 2</f>
        <v>73</v>
      </c>
      <c r="F13" s="18">
        <f>IF(MOD(ROUNDUP((E13-D13)*($F$49/100)+D13, 0),2)=0, ROUNDUP((E13-D13)*($F$49/100)+D13, 0), ROUNDUP((E13-D13)*($F$49/100)+D13, 0)-1)</f>
        <v>38</v>
      </c>
      <c r="G13" s="22">
        <f>IF(F13 &lt; 0, 0, F13)</f>
        <v>38</v>
      </c>
      <c r="H13" s="17">
        <f>(QUOTIENT(G13,2)+1)*2*$B$5 + 2*$B$5</f>
        <v>52.044609665427508</v>
      </c>
      <c r="I13" s="48"/>
    </row>
    <row r="14" spans="1:9">
      <c r="A14" s="30" t="s">
        <v>39</v>
      </c>
      <c r="B14" s="28">
        <f>145+10*B5-H13</f>
        <v>105.34696406443618</v>
      </c>
      <c r="C14" s="21"/>
      <c r="D14" s="18">
        <f>ROUNDUP(B14/$B$5, 0) - 2</f>
        <v>84</v>
      </c>
      <c r="E14" s="18">
        <v>255</v>
      </c>
      <c r="F14" s="18">
        <f>IF(MOD(ROUNDUP((E14-D14)*($F$50/100)+D14, 0),2)=0, ROUNDUP((E14-D14)*($F$50/100)+D14, 0), ROUNDUP((E14-D14)*($F$50/100)+D14, 0)-1)</f>
        <v>102</v>
      </c>
      <c r="G14" s="22">
        <f>IF(F14&lt;24,24,F14)</f>
        <v>102</v>
      </c>
      <c r="H14" s="17">
        <f t="shared" si="0"/>
        <v>128.87236679058239</v>
      </c>
      <c r="I14" s="48"/>
    </row>
    <row r="15" spans="1:9">
      <c r="A15" s="30" t="s">
        <v>40</v>
      </c>
      <c r="B15" s="28">
        <f xml:space="preserve"> 60+4*B5</f>
        <v>64.956629491945478</v>
      </c>
      <c r="C15" s="21">
        <f>C21-$B$7</f>
        <v>99.869888475836433</v>
      </c>
      <c r="D15" s="18">
        <f>ROUNDUP(B15/$B$5, 0) - 2</f>
        <v>51</v>
      </c>
      <c r="E15" s="18">
        <f>ROUNDUP(C15/$B$5, 0) - 2</f>
        <v>79</v>
      </c>
      <c r="F15" s="18">
        <f>IF(MOD(ROUNDUP((E15-D15)*($F$51/100)+D15, 0),2)=0, ROUNDUP((E15-D15)*($F$51/100)+D15, 0), ROUNDUP((E15-D15)*($F$51/100)+D15, 0)-1)</f>
        <v>54</v>
      </c>
      <c r="G15" s="22">
        <f>IF(F15&lt;0, 0, F15)</f>
        <v>54</v>
      </c>
      <c r="H15" s="17">
        <f t="shared" si="0"/>
        <v>69.392812887236673</v>
      </c>
      <c r="I15" s="48"/>
    </row>
    <row r="16" spans="1:9">
      <c r="A16" s="30" t="s">
        <v>41</v>
      </c>
      <c r="B16" s="28"/>
      <c r="C16" s="21"/>
      <c r="D16" s="18"/>
      <c r="E16" s="18"/>
      <c r="F16" s="18">
        <f>IF(MOD(ROUNDDOWN($B$6/$B$5, 0),2)=0, ROUNDDOWN($B$6/$B$5, 0)-2, ROUNDDOWN($B$6/$B$5,0))</f>
        <v>40</v>
      </c>
      <c r="G16" s="22">
        <f>IF(F16&lt;0, 0, F16)</f>
        <v>40</v>
      </c>
      <c r="H16" s="17">
        <f t="shared" si="0"/>
        <v>52.044609665427508</v>
      </c>
      <c r="I16" s="48"/>
    </row>
    <row r="17" spans="1:8">
      <c r="A17" s="30" t="s">
        <v>42</v>
      </c>
      <c r="B17" s="28">
        <v>100</v>
      </c>
      <c r="C17" s="21"/>
      <c r="D17" s="18">
        <f>ROUNDUP(B17/$B$5, 0) - 2</f>
        <v>79</v>
      </c>
      <c r="E17" s="18">
        <v>255</v>
      </c>
      <c r="F17" s="18">
        <f>IF(MOD(ROUNDUP((E17-D17)*($F$50/100)+D17, 0),2)=0, ROUNDUP((E17-D17)*($F$50/100)+D17, 0), ROUNDUP((E17-D17)*($F$50/100)+D17, 0)-1)</f>
        <v>96</v>
      </c>
      <c r="G17" s="22">
        <f>IF(F17&lt;0, 0, F17)</f>
        <v>96</v>
      </c>
      <c r="H17" s="17">
        <f t="shared" si="0"/>
        <v>121.43742255266417</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91</v>
      </c>
      <c r="B21" s="28"/>
      <c r="C21" s="21">
        <f>105+12*$B$5</f>
        <v>119.86988847583643</v>
      </c>
      <c r="D21" s="18"/>
      <c r="E21" s="18"/>
      <c r="F21" s="18"/>
      <c r="G21" s="23"/>
      <c r="H21" s="18">
        <f>H15+$B$7/2</f>
        <v>79.392812887236673</v>
      </c>
    </row>
    <row r="22" spans="1:8">
      <c r="A22" s="30" t="s">
        <v>92</v>
      </c>
      <c r="B22" s="28"/>
      <c r="C22" s="21">
        <f>105+12*$B$5</f>
        <v>119.86988847583643</v>
      </c>
      <c r="D22" s="18"/>
      <c r="E22" s="18"/>
      <c r="F22" s="18"/>
      <c r="G22" s="23"/>
      <c r="H22" s="18">
        <f>H12 + $B$7/2</f>
        <v>74.436183395291195</v>
      </c>
    </row>
    <row r="23" spans="1:8">
      <c r="A23" s="30" t="s">
        <v>47</v>
      </c>
      <c r="B23" s="28">
        <f>60+52*B5</f>
        <v>124.4361833952912</v>
      </c>
      <c r="C23" s="21"/>
      <c r="D23" s="18">
        <f>ROUNDUP((B23-24*B5-H17)/(8*B5), 0)-1</f>
        <v>-4</v>
      </c>
      <c r="E23" s="18">
        <v>63</v>
      </c>
      <c r="F23" s="18">
        <f>ROUNDUP((E23-D23)*($F$50/100)+D23, 0)</f>
        <v>3</v>
      </c>
      <c r="G23" s="22">
        <f>IF(F23&lt;0, 0, F23)</f>
        <v>3</v>
      </c>
      <c r="H23" s="18">
        <f>(G23+1)*8*B5+H17+24*B5</f>
        <v>190.83023543990086</v>
      </c>
    </row>
    <row r="24" spans="1:8">
      <c r="A24" s="30" t="s">
        <v>48</v>
      </c>
      <c r="B24" s="28">
        <f>8*B5</f>
        <v>9.9132589838909535</v>
      </c>
      <c r="C24" s="21"/>
      <c r="D24" s="18" t="e">
        <f>ROUNDUP((B24+$H$10+$H$11+$B$6)/(8*$B$5),0)-1</f>
        <v>#VALUE!</v>
      </c>
      <c r="E24" s="18">
        <v>63</v>
      </c>
      <c r="F24" s="18" t="e">
        <f>IF(D24&gt;63, ROUNDUP((E24*2-D24)*($F$50/100)+D24, 0), ROUNDUP((E24-D24)*($F$50/100)+D24, 0))</f>
        <v>#VALUE!</v>
      </c>
      <c r="G24" s="22" t="e">
        <f>IF(F24&lt;0, 0, IF(D24&gt;E24, ROUNDDOWN(F24/2, 0), F24))</f>
        <v>#VALUE!</v>
      </c>
      <c r="H24" s="18" t="e">
        <f>IF(D24&gt;E24,(G24+1)*16*B5-B6-H10-H11,(G24+1)*8*B5-B6-H10-H11)</f>
        <v>#VALUE!</v>
      </c>
    </row>
    <row r="25" spans="1:8">
      <c r="A25" s="30" t="s">
        <v>130</v>
      </c>
      <c r="B25" s="3"/>
      <c r="C25" s="3"/>
      <c r="D25" s="5"/>
      <c r="H25" s="18" t="e">
        <f>SUM(H10:H17) + SUM(H23:H24)  +B6+8*B5</f>
        <v>#VALUE!</v>
      </c>
    </row>
    <row r="26" spans="1:8">
      <c r="A26" s="30"/>
      <c r="B26" s="6"/>
      <c r="C26" s="6"/>
      <c r="D26" s="3"/>
      <c r="E26" s="3"/>
      <c r="F26" s="5"/>
      <c r="G26" s="4"/>
    </row>
    <row r="27" spans="1:8" ht="18">
      <c r="A27" s="69" t="s">
        <v>80</v>
      </c>
    </row>
    <row r="28" spans="1:8">
      <c r="A28" s="30" t="s">
        <v>150</v>
      </c>
      <c r="B28" s="31" t="s">
        <v>131</v>
      </c>
      <c r="C28" s="3"/>
    </row>
    <row r="29" spans="1:8">
      <c r="A29" s="30" t="s">
        <v>137</v>
      </c>
      <c r="B29" s="26" t="e">
        <f>IF(F11&gt;255, DEC2HEX(G11 - 255), DEC2HEX(G11))</f>
        <v>#VALUE!</v>
      </c>
      <c r="C29" s="13"/>
    </row>
    <row r="30" spans="1:8">
      <c r="A30" s="30" t="s">
        <v>138</v>
      </c>
      <c r="B30" s="26" t="str">
        <f>DEC2HEX(G12)</f>
        <v>32</v>
      </c>
      <c r="C30" s="13"/>
    </row>
    <row r="31" spans="1:8">
      <c r="A31" s="30" t="s">
        <v>139</v>
      </c>
      <c r="B31" s="26" t="str">
        <f>DEC2HEX(G10)</f>
        <v>22</v>
      </c>
      <c r="C31" s="13"/>
    </row>
    <row r="32" spans="1:8">
      <c r="A32" s="30" t="s">
        <v>140</v>
      </c>
      <c r="B32" s="70">
        <f>IF(F11&gt;255, 1, 0)</f>
        <v>0</v>
      </c>
      <c r="C32" s="13"/>
    </row>
    <row r="33" spans="1:7">
      <c r="A33" s="30" t="s">
        <v>141</v>
      </c>
      <c r="B33" s="26" t="str">
        <f>DEC2HEX(G17)</f>
        <v>60</v>
      </c>
      <c r="C33" s="13"/>
    </row>
    <row r="34" spans="1:7">
      <c r="A34" s="30" t="s">
        <v>142</v>
      </c>
      <c r="B34" s="26" t="str">
        <f>DEC2HEX(G14)</f>
        <v>66</v>
      </c>
      <c r="C34" s="13"/>
      <c r="G34" s="14" t="s">
        <v>89</v>
      </c>
    </row>
    <row r="35" spans="1:7">
      <c r="A35" s="30" t="s">
        <v>143</v>
      </c>
      <c r="B35" s="26" t="str">
        <f>DEC2HEX(G13)</f>
        <v>26</v>
      </c>
      <c r="C35" s="13"/>
    </row>
    <row r="36" spans="1:7">
      <c r="A36" s="30" t="s">
        <v>144</v>
      </c>
      <c r="B36" s="26" t="str">
        <f>DEC2HEX(G15)</f>
        <v>36</v>
      </c>
      <c r="C36" s="13"/>
    </row>
    <row r="37" spans="1:7">
      <c r="A37" s="30" t="s">
        <v>145</v>
      </c>
      <c r="B37" s="26" t="str">
        <f>DEC2HEX(G16)</f>
        <v>28</v>
      </c>
      <c r="C37" s="13"/>
    </row>
    <row r="38" spans="1:7">
      <c r="A38" s="30" t="s">
        <v>146</v>
      </c>
      <c r="B38" s="26" t="str">
        <f>DEC2HEX(G19*2^4+G18)</f>
        <v>3</v>
      </c>
      <c r="C38" s="13"/>
    </row>
    <row r="39" spans="1:7">
      <c r="A39" s="30" t="s">
        <v>147</v>
      </c>
      <c r="B39" s="26" t="str">
        <f>DEC2HEX(G20)</f>
        <v>4</v>
      </c>
      <c r="C39" s="13"/>
    </row>
    <row r="40" spans="1:7">
      <c r="A40" s="26"/>
      <c r="C40" s="13"/>
    </row>
    <row r="41" spans="1:7" ht="18">
      <c r="A41" s="71" t="s">
        <v>82</v>
      </c>
      <c r="B41" s="26"/>
    </row>
    <row r="42" spans="1:7">
      <c r="A42" s="30" t="s">
        <v>148</v>
      </c>
      <c r="B42" s="26" t="e">
        <f>DEC2HEX(G23*256+G24)</f>
        <v>#VALUE!</v>
      </c>
      <c r="C42" s="13"/>
    </row>
    <row r="43" spans="1:7">
      <c r="A43" s="30" t="s">
        <v>149</v>
      </c>
      <c r="B43" s="70" t="e">
        <f>IF(E24 &lt; D24, 1, 0)</f>
        <v>#VALUE!</v>
      </c>
    </row>
    <row r="48" spans="1:7">
      <c r="E48" s="15" t="s">
        <v>99</v>
      </c>
      <c r="F48" s="14">
        <v>10</v>
      </c>
    </row>
    <row r="49" spans="5:6">
      <c r="E49" s="15" t="s">
        <v>100</v>
      </c>
      <c r="F49" s="14">
        <f>IF($B$3&gt;1200, 15, 10)</f>
        <v>10</v>
      </c>
    </row>
    <row r="50" spans="5:6">
      <c r="E50" s="15" t="s">
        <v>94</v>
      </c>
      <c r="F50" s="14">
        <v>10</v>
      </c>
    </row>
    <row r="51" spans="5:6">
      <c r="E51" s="15" t="s">
        <v>95</v>
      </c>
      <c r="F51" s="14">
        <f>IF($B$3&gt;180, 10, 40)</f>
        <v>10</v>
      </c>
    </row>
  </sheetData>
  <mergeCells count="3">
    <mergeCell ref="B8:C8"/>
    <mergeCell ref="D8:F8"/>
    <mergeCell ref="H8:H9"/>
  </mergeCells>
  <phoneticPr fontId="51"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7" right="0.7" top="0.75" bottom="0.75" header="0.3" footer="0.3"/>
  <pageSetup scale="53" fitToHeight="0" orientation="portrait" r:id="rId1"/>
  <headerFooter>
    <oddHeader>&amp;LDSI Timing Parameters</oddHeader>
    <oddFooter>&amp;C&amp;"Arial,Bold" MAY CONTAIN U.S. AND INTERNATIONAL EXPORT CONTROLLED INFORMATION&amp;R&amp;8&amp;P</oddFooter>
  </headerFooter>
</worksheet>
</file>

<file path=xl/worksheets/sheet6.xml><?xml version="1.0" encoding="utf-8"?>
<worksheet xmlns="http://schemas.openxmlformats.org/spreadsheetml/2006/main" xmlns:r="http://schemas.openxmlformats.org/officeDocument/2006/relationships">
  <sheetPr codeName="Sheet3">
    <pageSetUpPr fitToPage="1"/>
  </sheetPr>
  <dimension ref="A1:I63"/>
  <sheetViews>
    <sheetView view="pageLayout" topLeftCell="A34" zoomScale="120" zoomScaleNormal="70" zoomScalePageLayoutView="120" workbookViewId="0">
      <selection activeCell="E12" sqref="E12"/>
    </sheetView>
  </sheetViews>
  <sheetFormatPr defaultRowHeight="12.75"/>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s>
  <sheetData>
    <row r="1" spans="1:9" ht="18">
      <c r="A1" s="8" t="s">
        <v>81</v>
      </c>
      <c r="B1" s="14"/>
      <c r="C1" s="14"/>
      <c r="D1" s="14"/>
      <c r="E1" s="14"/>
      <c r="F1" s="14"/>
      <c r="G1" s="14"/>
      <c r="H1" s="14"/>
    </row>
    <row r="2" spans="1:9" ht="18">
      <c r="A2" s="12" t="s">
        <v>128</v>
      </c>
      <c r="B2" s="11"/>
      <c r="C2" s="14"/>
      <c r="D2" s="14"/>
      <c r="E2" s="14"/>
      <c r="F2" s="14"/>
      <c r="G2" s="16"/>
      <c r="H2" s="14"/>
    </row>
    <row r="3" spans="1:9">
      <c r="A3" s="24" t="s">
        <v>97</v>
      </c>
      <c r="B3" s="67">
        <f>ROUNDDOWN('DSI and MDP registers'!C94, 0)</f>
        <v>807</v>
      </c>
      <c r="C3" s="14" t="s">
        <v>98</v>
      </c>
      <c r="D3" s="14"/>
      <c r="E3" s="14"/>
      <c r="F3" s="14"/>
      <c r="G3" s="14"/>
      <c r="H3" s="14"/>
    </row>
    <row r="4" spans="1:9">
      <c r="A4" s="24" t="s">
        <v>33</v>
      </c>
      <c r="B4" s="68">
        <f>'DSI and MDP registers'!C21/'DSI and MDP registers'!C22</f>
        <v>19.2</v>
      </c>
      <c r="C4" s="14" t="s">
        <v>15</v>
      </c>
      <c r="D4" s="14"/>
      <c r="E4" s="14"/>
      <c r="F4" s="14"/>
      <c r="G4" s="14"/>
      <c r="H4" s="14"/>
    </row>
    <row r="5" spans="1:9">
      <c r="A5" s="24" t="s">
        <v>36</v>
      </c>
      <c r="B5" s="25">
        <f>10^3/B3</f>
        <v>1.2391573729863692</v>
      </c>
      <c r="C5" s="14" t="s">
        <v>37</v>
      </c>
      <c r="D5" s="14"/>
      <c r="E5" s="14"/>
      <c r="F5" s="14"/>
      <c r="G5" s="14"/>
      <c r="H5" s="14"/>
    </row>
    <row r="6" spans="1:9">
      <c r="A6" s="24" t="s">
        <v>46</v>
      </c>
      <c r="B6" s="18">
        <f>10^3/B4</f>
        <v>52.083333333333336</v>
      </c>
      <c r="C6" s="14" t="s">
        <v>37</v>
      </c>
      <c r="D6" s="14"/>
      <c r="E6" s="14"/>
      <c r="F6" s="14"/>
      <c r="G6" s="14"/>
      <c r="H6" s="14"/>
    </row>
    <row r="7" spans="1:9">
      <c r="A7" s="24" t="s">
        <v>90</v>
      </c>
      <c r="B7" s="26">
        <v>20</v>
      </c>
      <c r="C7" s="14" t="s">
        <v>37</v>
      </c>
      <c r="D7" s="14"/>
      <c r="E7" s="14"/>
      <c r="F7" s="14"/>
      <c r="G7" s="14"/>
      <c r="H7" s="14"/>
    </row>
    <row r="8" spans="1:9">
      <c r="A8" s="29"/>
      <c r="B8" s="128" t="s">
        <v>93</v>
      </c>
      <c r="C8" s="129"/>
      <c r="D8" s="130" t="s">
        <v>78</v>
      </c>
      <c r="E8" s="130"/>
      <c r="F8" s="130"/>
      <c r="G8" s="75" t="s">
        <v>129</v>
      </c>
      <c r="H8" s="131" t="s">
        <v>182</v>
      </c>
    </row>
    <row r="9" spans="1:9">
      <c r="A9" s="30"/>
      <c r="B9" s="27" t="s">
        <v>50</v>
      </c>
      <c r="C9" s="19" t="s">
        <v>51</v>
      </c>
      <c r="D9" s="74" t="s">
        <v>63</v>
      </c>
      <c r="E9" s="74" t="s">
        <v>64</v>
      </c>
      <c r="F9" s="20"/>
      <c r="G9" s="75" t="s">
        <v>49</v>
      </c>
      <c r="H9" s="132"/>
    </row>
    <row r="10" spans="1:9">
      <c r="A10" s="30" t="s">
        <v>32</v>
      </c>
      <c r="B10" s="28">
        <v>38</v>
      </c>
      <c r="C10" s="21">
        <v>95</v>
      </c>
      <c r="D10" s="18">
        <f>MAX(ROUNDUP((B10/$B$5-$F$11*4-$F$28*2)/8, 0),0)</f>
        <v>4</v>
      </c>
      <c r="E10" s="18">
        <f>MAX(ROUNDDOWN((C10/$B$5-$F$11*4-$F$28*2)/8, 0),0)</f>
        <v>9</v>
      </c>
      <c r="F10" s="18">
        <f>ROUNDUP((E10-D10)*($F$58/100)+D10, 0)</f>
        <v>7</v>
      </c>
      <c r="G10" s="22">
        <f t="shared" ref="G10:G16" si="0">IF(F10&lt;0, 0, F10)</f>
        <v>7</v>
      </c>
      <c r="H10" s="17">
        <f>(G10*8 +G11*4+G28*2)*$B$5</f>
        <v>69.392812887236673</v>
      </c>
      <c r="I10" s="14" t="str">
        <f>IF(OR(H10&lt;B10, H10&gt;C10), "fail", "")</f>
        <v/>
      </c>
    </row>
    <row r="11" spans="1:9" s="14" customFormat="1" ht="38.25">
      <c r="A11" s="80" t="s">
        <v>177</v>
      </c>
      <c r="B11" s="28"/>
      <c r="C11" s="21"/>
      <c r="D11" s="18"/>
      <c r="E11" s="18"/>
      <c r="F11" s="18">
        <v>0</v>
      </c>
      <c r="G11" s="22">
        <f t="shared" si="0"/>
        <v>0</v>
      </c>
      <c r="H11" s="17"/>
    </row>
    <row r="12" spans="1:9">
      <c r="A12" s="30" t="s">
        <v>34</v>
      </c>
      <c r="B12" s="28">
        <f>300-H10</f>
        <v>230.60718711276331</v>
      </c>
      <c r="C12" s="21"/>
      <c r="D12" s="18">
        <f>ROUNDUP((B12/$B$5-11)/8, 0) - 3</f>
        <v>19</v>
      </c>
      <c r="E12" s="18">
        <f>IF(D12&gt; 255, 511, 255)</f>
        <v>255</v>
      </c>
      <c r="F12" s="18">
        <f>ROUNDUP((E12-D12)*($F$63/100)+D12, 0)</f>
        <v>24</v>
      </c>
      <c r="G12" s="22">
        <f t="shared" si="0"/>
        <v>24</v>
      </c>
      <c r="H12" s="17">
        <f>((G12+3)*8+11-G28*2)*$B$5</f>
        <v>281.2887236679058</v>
      </c>
      <c r="I12" s="14" t="str">
        <f t="shared" ref="I12:I15" si="1">IF(H12&lt;B12, "fail", "")</f>
        <v/>
      </c>
    </row>
    <row r="13" spans="1:9">
      <c r="A13" s="30" t="s">
        <v>35</v>
      </c>
      <c r="B13" s="28">
        <v>60</v>
      </c>
      <c r="C13" s="21">
        <f>C24-$B$7</f>
        <v>99.869888475836433</v>
      </c>
      <c r="D13" s="18">
        <f>ROUNDUP((B13/$B$5+3)/8, 0)</f>
        <v>7</v>
      </c>
      <c r="E13" s="18">
        <f>ROUNDDOWN((C13/$B$5+3)/8, 0)</f>
        <v>10</v>
      </c>
      <c r="F13" s="18">
        <f>ROUNDUP((E13-D13)*($F$61/100)+D13, 0)</f>
        <v>8</v>
      </c>
      <c r="G13" s="22">
        <f t="shared" si="0"/>
        <v>8</v>
      </c>
      <c r="H13" s="17">
        <f>(G13*8-3)*$B$5</f>
        <v>75.58859975216852</v>
      </c>
      <c r="I13" s="14" t="str">
        <f t="shared" ref="I13:I14" si="2">IF(OR(H13&lt;B13, H13&gt;C13), "fail", "")</f>
        <v/>
      </c>
    </row>
    <row r="14" spans="1:9">
      <c r="A14" s="30" t="s">
        <v>38</v>
      </c>
      <c r="B14" s="28">
        <f>40+4*B5</f>
        <v>44.956629491945478</v>
      </c>
      <c r="C14" s="21">
        <f>85+6*B5</f>
        <v>92.434944237918216</v>
      </c>
      <c r="D14" s="18">
        <f>MAX(ROUNDUP((B14/$B$5-$F$18*4-$F$29*2)/8, 0),0)</f>
        <v>5</v>
      </c>
      <c r="E14" s="18">
        <f>MAX(ROUNDDOWN((C14/$B$5-$F$18*4-$F$29*2)/8, 0),0)</f>
        <v>9</v>
      </c>
      <c r="F14" s="18">
        <f>ROUNDUP((E14-D14)*($F$59/100)+D14, 0)</f>
        <v>7</v>
      </c>
      <c r="G14" s="22">
        <f t="shared" si="0"/>
        <v>7</v>
      </c>
      <c r="H14" s="17">
        <f>(G14*8+G18*4+G29*2)*$B$5</f>
        <v>69.392812887236673</v>
      </c>
      <c r="I14" s="14" t="str">
        <f t="shared" si="2"/>
        <v/>
      </c>
    </row>
    <row r="15" spans="1:9">
      <c r="A15" s="30" t="s">
        <v>39</v>
      </c>
      <c r="B15" s="28">
        <f>145+10*B5-H14</f>
        <v>87.998760842627021</v>
      </c>
      <c r="C15" s="21"/>
      <c r="D15" s="18">
        <f>ROUNDUP((B15/$B$5 - 11)/8, 0) - 3</f>
        <v>5</v>
      </c>
      <c r="E15" s="18">
        <v>255</v>
      </c>
      <c r="F15" s="18">
        <f>ROUNDUP((E15-D15)*($F$62/100)+D15, 0)</f>
        <v>30</v>
      </c>
      <c r="G15" s="22">
        <f t="shared" si="0"/>
        <v>30</v>
      </c>
      <c r="H15" s="17">
        <f>((G15+3)*8+11-2*G29)*$B$5</f>
        <v>340.76827757125153</v>
      </c>
      <c r="I15" s="14" t="str">
        <f t="shared" si="1"/>
        <v/>
      </c>
    </row>
    <row r="16" spans="1:9">
      <c r="A16" s="30" t="s">
        <v>40</v>
      </c>
      <c r="B16" s="28">
        <f xml:space="preserve"> 60+4*B5</f>
        <v>64.956629491945478</v>
      </c>
      <c r="C16" s="21">
        <f>C23-$B$7</f>
        <v>99.869888475836433</v>
      </c>
      <c r="D16" s="18">
        <f>ROUNDUP((B16/$B$5+3)/8, 0)</f>
        <v>7</v>
      </c>
      <c r="E16" s="18">
        <f>ROUNDDOWN((C16/$B$5+3)/8, 0)</f>
        <v>10</v>
      </c>
      <c r="F16" s="18">
        <f>ROUNDUP((E16-D16)*($F$61/100)+D16, 0)</f>
        <v>8</v>
      </c>
      <c r="G16" s="22">
        <f t="shared" si="0"/>
        <v>8</v>
      </c>
      <c r="H16" s="17">
        <f>(G16*8-3)*$B$5</f>
        <v>75.58859975216852</v>
      </c>
      <c r="I16" s="14" t="str">
        <f>IF(OR(H16&lt;B16, H16&gt;C16), "fail", "")</f>
        <v/>
      </c>
    </row>
    <row r="17" spans="1:9">
      <c r="A17" s="30" t="s">
        <v>166</v>
      </c>
      <c r="B17" s="28">
        <v>50</v>
      </c>
      <c r="C17" s="21"/>
      <c r="D17" s="18"/>
      <c r="E17" s="18"/>
      <c r="F17" s="18">
        <f>MAX(ROUNDUP((B17/B5+4*F18-8)/8, 0), 0)</f>
        <v>5</v>
      </c>
      <c r="G17" s="22">
        <f>IF(F17&lt;0, 0, F17)</f>
        <v>5</v>
      </c>
      <c r="H17" s="17">
        <f>IF(G18=0, (G17+1)*$B$5*8, (G17+0.5)*$B$5*8)</f>
        <v>59.479553903345717</v>
      </c>
      <c r="I17" t="str">
        <f>IF(H17&lt;B17, "fail", "")</f>
        <v/>
      </c>
    </row>
    <row r="18" spans="1:9" s="14" customFormat="1" ht="38.25">
      <c r="A18" s="80" t="s">
        <v>184</v>
      </c>
      <c r="B18" s="28"/>
      <c r="C18" s="21"/>
      <c r="D18" s="18"/>
      <c r="E18" s="18"/>
      <c r="F18" s="18">
        <v>0</v>
      </c>
      <c r="G18" s="22">
        <f>IF(F18&lt;0, 0, F18)</f>
        <v>0</v>
      </c>
      <c r="H18" s="17"/>
    </row>
    <row r="19" spans="1:9">
      <c r="A19" s="30" t="s">
        <v>42</v>
      </c>
      <c r="B19" s="28">
        <v>100</v>
      </c>
      <c r="C19" s="21"/>
      <c r="D19" s="18">
        <f t="shared" ref="D19" si="3">ROUNDUP(B19/$B$5/8, 0) - 1</f>
        <v>10</v>
      </c>
      <c r="E19" s="18">
        <v>255</v>
      </c>
      <c r="F19" s="18">
        <f>ROUNDUP((E19-D19)*($F$60/100)+D19, 0)</f>
        <v>35</v>
      </c>
      <c r="G19" s="22">
        <f>IF(F19&lt;0, 0, F19)</f>
        <v>35</v>
      </c>
      <c r="H19" s="17">
        <f t="shared" ref="H19" si="4">(G19+1)*$B$5*8</f>
        <v>356.87732342007433</v>
      </c>
      <c r="I19" s="14" t="str">
        <f>IF(H19&lt;B19, "fail", "")</f>
        <v/>
      </c>
    </row>
    <row r="20" spans="1:9">
      <c r="A20" s="30" t="s">
        <v>43</v>
      </c>
      <c r="B20" s="28">
        <f>4*B6</f>
        <v>208.33333333333334</v>
      </c>
      <c r="C20" s="21">
        <f>4*B6</f>
        <v>208.33333333333334</v>
      </c>
      <c r="D20" s="18"/>
      <c r="E20" s="18"/>
      <c r="F20" s="18">
        <f>B20</f>
        <v>208.33333333333334</v>
      </c>
      <c r="G20" s="22">
        <v>3</v>
      </c>
      <c r="H20" s="18">
        <f>(G20+1)*10^3/$B$4</f>
        <v>208.33333333333334</v>
      </c>
    </row>
    <row r="21" spans="1:9">
      <c r="A21" s="30" t="s">
        <v>45</v>
      </c>
      <c r="B21" s="28">
        <f>B6</f>
        <v>52.083333333333336</v>
      </c>
      <c r="C21" s="21">
        <f>2*B6</f>
        <v>104.16666666666667</v>
      </c>
      <c r="D21" s="18"/>
      <c r="E21" s="18"/>
      <c r="F21" s="18">
        <f>B21</f>
        <v>52.083333333333336</v>
      </c>
      <c r="G21" s="22">
        <v>0</v>
      </c>
      <c r="H21" s="18">
        <f>(G21+2)*10^3/$B$4</f>
        <v>104.16666666666667</v>
      </c>
    </row>
    <row r="22" spans="1:9">
      <c r="A22" s="30" t="s">
        <v>44</v>
      </c>
      <c r="B22" s="28">
        <f>5*B6</f>
        <v>260.41666666666669</v>
      </c>
      <c r="C22" s="21">
        <f>5*B6</f>
        <v>260.41666666666669</v>
      </c>
      <c r="D22" s="18"/>
      <c r="E22" s="18"/>
      <c r="F22" s="18">
        <f>B22</f>
        <v>260.41666666666669</v>
      </c>
      <c r="G22" s="22">
        <v>4</v>
      </c>
      <c r="H22" s="18">
        <f>(G22+1)*10^3/$B$4</f>
        <v>260.41666666666669</v>
      </c>
    </row>
    <row r="23" spans="1:9">
      <c r="A23" s="30" t="s">
        <v>91</v>
      </c>
      <c r="B23" s="28"/>
      <c r="C23" s="21">
        <f>105+12*$B$5</f>
        <v>119.86988847583643</v>
      </c>
      <c r="D23" s="18"/>
      <c r="E23" s="18"/>
      <c r="F23" s="18"/>
      <c r="G23" s="23"/>
      <c r="H23" s="18">
        <f>H16+$B$7/2</f>
        <v>85.58859975216852</v>
      </c>
    </row>
    <row r="24" spans="1:9">
      <c r="A24" s="30" t="s">
        <v>92</v>
      </c>
      <c r="B24" s="28"/>
      <c r="C24" s="21">
        <f>105+12*$B$5</f>
        <v>119.86988847583643</v>
      </c>
      <c r="D24" s="18"/>
      <c r="E24" s="18"/>
      <c r="F24" s="18"/>
      <c r="G24" s="23"/>
      <c r="H24" s="18">
        <f>H13 + $B$7/2</f>
        <v>85.58859975216852</v>
      </c>
      <c r="I24" s="14"/>
    </row>
    <row r="25" spans="1:9">
      <c r="A25" s="30" t="s">
        <v>47</v>
      </c>
      <c r="B25" s="28">
        <f>60+52*B5</f>
        <v>124.4361833952912</v>
      </c>
      <c r="C25" s="21"/>
      <c r="D25" s="18">
        <f>ROUNDUP((B25-43*B5)/(8*B5), 0)-1</f>
        <v>7</v>
      </c>
      <c r="E25" s="18">
        <v>63</v>
      </c>
      <c r="F25" s="18">
        <f>ROUNDUP((E25-D25)*($F$60/100)+D25, 0)</f>
        <v>13</v>
      </c>
      <c r="G25" s="22">
        <f>IF(F25&lt;0, 0, F25)</f>
        <v>13</v>
      </c>
      <c r="H25" s="18">
        <f>(G25+1)*8*B5+72*B5+H19</f>
        <v>584.88228004956625</v>
      </c>
    </row>
    <row r="26" spans="1:9">
      <c r="A26" s="30" t="s">
        <v>48</v>
      </c>
      <c r="B26" s="28">
        <f>8*B5</f>
        <v>9.9132589838909535</v>
      </c>
      <c r="C26" s="21"/>
      <c r="D26" s="18">
        <f>ROUNDUP((B26+$H$10+$H$12+H27)/(8*$B$5),0)-1</f>
        <v>42</v>
      </c>
      <c r="E26" s="18">
        <v>63</v>
      </c>
      <c r="F26" s="18">
        <f>IF(D26&gt;63, ROUNDUP((E26*2-D26)*($F$60/100)+D26, 0), ROUNDUP((E26-D26)*($F$60/100)+D26, 0))</f>
        <v>45</v>
      </c>
      <c r="G26" s="22">
        <f>IF(F26&lt;0, 0, IF(D26&gt;E26, ROUNDDOWN(F26/2, 0), F26))</f>
        <v>45</v>
      </c>
      <c r="H26" s="18">
        <f>IF(D26&gt;E26,(G26+1)*16*B5-H27-H10-H12,(G26+1)*8*B5-H27-H10-H12)</f>
        <v>45.848822800495668</v>
      </c>
    </row>
    <row r="27" spans="1:9" s="14" customFormat="1">
      <c r="A27" s="30" t="s">
        <v>178</v>
      </c>
      <c r="B27" s="28">
        <v>50</v>
      </c>
      <c r="C27" s="21"/>
      <c r="D27" s="18"/>
      <c r="E27" s="18"/>
      <c r="F27" s="18">
        <f>MAX(ROUNDUP((B27/$B$5+4*$F$11-8)/8, 0), 0)</f>
        <v>5</v>
      </c>
      <c r="G27" s="22">
        <f>IF(F27&lt;0, 0, F27)</f>
        <v>5</v>
      </c>
      <c r="H27" s="17">
        <f>IF(G11=0, (G27+1)*$B$5*8, (G27+0.5)*$B$5*8)</f>
        <v>59.479553903345717</v>
      </c>
      <c r="I27" s="14" t="str">
        <f>IF(H27&lt;B27, "fail", "")</f>
        <v/>
      </c>
    </row>
    <row r="28" spans="1:9" s="14" customFormat="1" ht="25.5">
      <c r="A28" s="77" t="s">
        <v>179</v>
      </c>
      <c r="B28" s="81"/>
      <c r="C28" s="81"/>
      <c r="D28" s="82"/>
      <c r="E28" s="82"/>
      <c r="F28" s="18">
        <f>IF(B3&gt;100, 0, 3)</f>
        <v>0</v>
      </c>
      <c r="G28" s="22">
        <f t="shared" ref="G28" si="5">IF(F28&lt;0, 0, F28)</f>
        <v>0</v>
      </c>
      <c r="H28" s="17"/>
    </row>
    <row r="29" spans="1:9" s="14" customFormat="1" ht="25.5">
      <c r="A29" s="77" t="s">
        <v>183</v>
      </c>
      <c r="B29" s="81"/>
      <c r="C29" s="81"/>
      <c r="D29" s="82"/>
      <c r="E29" s="82"/>
      <c r="F29" s="18">
        <f>IF(B3&gt;120, 0, 1)</f>
        <v>0</v>
      </c>
      <c r="G29" s="22">
        <f t="shared" ref="G29" si="6">IF(F29&lt;0, 0, F29)</f>
        <v>0</v>
      </c>
      <c r="H29" s="17"/>
    </row>
    <row r="30" spans="1:9">
      <c r="A30" s="30" t="s">
        <v>130</v>
      </c>
      <c r="B30" s="3"/>
      <c r="C30" s="3"/>
      <c r="D30" s="5"/>
      <c r="E30" s="14"/>
      <c r="F30" s="14"/>
      <c r="G30" s="14"/>
      <c r="H30" s="18">
        <f>SUM(H10:H17) +  H19*2+SUM(H25:H27)  +B6+8*B5</f>
        <v>2437.4612763320943</v>
      </c>
    </row>
    <row r="31" spans="1:9">
      <c r="A31" s="30"/>
      <c r="B31" s="6"/>
      <c r="C31" s="6"/>
      <c r="D31" s="3"/>
      <c r="E31" s="3"/>
      <c r="F31" s="5"/>
      <c r="G31" s="4"/>
      <c r="H31" s="14"/>
    </row>
    <row r="32" spans="1:9" ht="18">
      <c r="A32" s="69" t="s">
        <v>175</v>
      </c>
      <c r="B32" s="14"/>
      <c r="C32" s="14"/>
      <c r="D32" s="14"/>
      <c r="E32" s="14"/>
      <c r="F32" s="14"/>
      <c r="G32" s="14"/>
      <c r="H32" s="14"/>
    </row>
    <row r="33" spans="1:8">
      <c r="A33" s="30" t="s">
        <v>174</v>
      </c>
      <c r="B33" s="31" t="s">
        <v>131</v>
      </c>
      <c r="C33" s="3"/>
      <c r="D33" s="14"/>
      <c r="E33" s="14"/>
      <c r="F33" s="14"/>
      <c r="G33" s="14"/>
      <c r="H33" s="14"/>
    </row>
    <row r="34" spans="1:8">
      <c r="A34" s="30" t="s">
        <v>153</v>
      </c>
      <c r="B34" s="26" t="str">
        <f>DEC2HEX(G19)</f>
        <v>23</v>
      </c>
      <c r="C34" s="13" t="s">
        <v>164</v>
      </c>
      <c r="D34" s="14"/>
      <c r="E34" s="14"/>
      <c r="F34" s="14"/>
      <c r="G34" s="14"/>
      <c r="H34" s="14"/>
    </row>
    <row r="35" spans="1:8">
      <c r="A35" s="30" t="s">
        <v>154</v>
      </c>
      <c r="B35" s="26" t="str">
        <f>DEC2HEX(G12)</f>
        <v>18</v>
      </c>
      <c r="C35" s="13" t="s">
        <v>34</v>
      </c>
      <c r="D35" s="14"/>
      <c r="E35" s="14"/>
      <c r="F35" s="14"/>
      <c r="G35" s="14"/>
      <c r="H35" s="14"/>
    </row>
    <row r="36" spans="1:8">
      <c r="A36" s="30" t="s">
        <v>155</v>
      </c>
      <c r="B36" s="26" t="str">
        <f>DEC2HEX(G10)</f>
        <v>7</v>
      </c>
      <c r="C36" s="13" t="s">
        <v>165</v>
      </c>
      <c r="D36" s="14"/>
      <c r="E36" s="14"/>
      <c r="F36" s="14"/>
      <c r="G36" s="14"/>
      <c r="H36" s="14"/>
    </row>
    <row r="37" spans="1:8" ht="25.5">
      <c r="A37" s="77" t="s">
        <v>176</v>
      </c>
      <c r="B37" s="26" t="str">
        <f>DEC2HEX(G11)</f>
        <v>0</v>
      </c>
      <c r="C37" s="13" t="s">
        <v>165</v>
      </c>
      <c r="D37" s="14"/>
      <c r="E37" s="14"/>
      <c r="F37" s="14"/>
      <c r="G37" s="14"/>
      <c r="H37" s="14"/>
    </row>
    <row r="38" spans="1:8">
      <c r="A38" s="30" t="s">
        <v>156</v>
      </c>
      <c r="B38" s="26" t="str">
        <f>DEC2HEX(G13)</f>
        <v>8</v>
      </c>
      <c r="C38" s="13" t="s">
        <v>35</v>
      </c>
      <c r="D38" s="14"/>
      <c r="E38" s="14"/>
      <c r="F38" s="14"/>
      <c r="G38" s="14"/>
      <c r="H38" s="14"/>
    </row>
    <row r="39" spans="1:8">
      <c r="A39" s="30" t="s">
        <v>157</v>
      </c>
      <c r="B39" s="26" t="str">
        <f>DEC2HEX(G27)</f>
        <v>5</v>
      </c>
      <c r="C39" s="13" t="s">
        <v>163</v>
      </c>
      <c r="D39" s="14"/>
      <c r="E39" s="14"/>
      <c r="F39" s="14"/>
      <c r="G39" s="14" t="s">
        <v>89</v>
      </c>
      <c r="H39" s="14"/>
    </row>
    <row r="40" spans="1:8">
      <c r="A40" s="30" t="s">
        <v>158</v>
      </c>
      <c r="B40" s="26" t="str">
        <f>DEC2HEX(G19)</f>
        <v>23</v>
      </c>
      <c r="C40" s="13" t="s">
        <v>42</v>
      </c>
      <c r="D40" s="14"/>
      <c r="E40" s="14"/>
      <c r="F40" s="14"/>
      <c r="G40" s="14"/>
      <c r="H40" s="14"/>
    </row>
    <row r="41" spans="1:8">
      <c r="A41" s="30" t="s">
        <v>159</v>
      </c>
      <c r="B41" s="26" t="str">
        <f>DEC2HEX(G15)</f>
        <v>1E</v>
      </c>
      <c r="C41" s="13" t="s">
        <v>39</v>
      </c>
      <c r="D41" s="14"/>
      <c r="E41" s="14"/>
      <c r="F41" s="14"/>
      <c r="G41" s="14"/>
      <c r="H41" s="14"/>
    </row>
    <row r="42" spans="1:8">
      <c r="A42" s="30" t="s">
        <v>160</v>
      </c>
      <c r="B42" s="26" t="str">
        <f>DEC2HEX(G14)</f>
        <v>7</v>
      </c>
      <c r="C42" s="13" t="s">
        <v>38</v>
      </c>
      <c r="D42" s="14"/>
      <c r="E42" s="14"/>
      <c r="F42" s="14"/>
      <c r="G42" s="14"/>
      <c r="H42" s="14"/>
    </row>
    <row r="43" spans="1:8" s="14" customFormat="1">
      <c r="A43" s="30" t="s">
        <v>161</v>
      </c>
      <c r="B43" s="26" t="str">
        <f>DEC2HEX(G16)</f>
        <v>8</v>
      </c>
      <c r="C43" s="13" t="s">
        <v>40</v>
      </c>
    </row>
    <row r="44" spans="1:8" s="14" customFormat="1">
      <c r="A44" s="30" t="s">
        <v>162</v>
      </c>
      <c r="B44" s="26" t="str">
        <f>DEC2HEX(G17)</f>
        <v>5</v>
      </c>
      <c r="C44" s="13" t="s">
        <v>166</v>
      </c>
    </row>
    <row r="45" spans="1:8" s="14" customFormat="1" ht="25.5">
      <c r="A45" s="77" t="s">
        <v>169</v>
      </c>
      <c r="B45" s="26" t="str">
        <f>DEC2HEX(G18)</f>
        <v>0</v>
      </c>
      <c r="C45" s="13" t="s">
        <v>170</v>
      </c>
    </row>
    <row r="46" spans="1:8">
      <c r="A46" s="30" t="s">
        <v>167</v>
      </c>
      <c r="B46" s="26" t="str">
        <f>DEC2HEX(G21*2^4+G20)</f>
        <v>3</v>
      </c>
      <c r="C46" s="13"/>
      <c r="D46" s="14"/>
      <c r="E46" s="14"/>
      <c r="F46" s="14"/>
      <c r="G46" s="14"/>
      <c r="H46" s="14"/>
    </row>
    <row r="47" spans="1:8">
      <c r="A47" s="30" t="s">
        <v>168</v>
      </c>
      <c r="B47" s="26" t="str">
        <f>DEC2HEX(G22)</f>
        <v>4</v>
      </c>
      <c r="C47" s="13"/>
      <c r="D47" s="14"/>
      <c r="E47" s="14"/>
      <c r="F47" s="14"/>
      <c r="G47" s="14"/>
      <c r="H47" s="14"/>
    </row>
    <row r="48" spans="1:8" ht="25.5">
      <c r="A48" s="83" t="str">
        <f>A28</f>
        <v>DSIPHY_CKLN_CFG0.DSIPHY_HSTX_PREPARE_DLY</v>
      </c>
      <c r="B48" s="26">
        <f>G28</f>
        <v>0</v>
      </c>
      <c r="C48" s="13" t="s">
        <v>165</v>
      </c>
      <c r="D48" s="14"/>
      <c r="E48" s="14"/>
      <c r="F48" s="14"/>
      <c r="G48" s="14"/>
      <c r="H48" s="14"/>
    </row>
    <row r="49" spans="1:8" s="14" customFormat="1" ht="25.5">
      <c r="A49" s="83" t="str">
        <f>A29</f>
        <v>DSIPHY_DLN[0123]_CFG0.DSIPHY_HSTX_PREPARE_DLY</v>
      </c>
      <c r="B49" s="26">
        <f>G29</f>
        <v>0</v>
      </c>
      <c r="C49" s="13" t="s">
        <v>186</v>
      </c>
    </row>
    <row r="50" spans="1:8" s="14" customFormat="1">
      <c r="A50" s="83"/>
      <c r="B50" s="26"/>
      <c r="C50" s="13"/>
    </row>
    <row r="51" spans="1:8" ht="18">
      <c r="A51" s="71" t="s">
        <v>82</v>
      </c>
      <c r="B51" s="26"/>
      <c r="C51" s="14"/>
      <c r="D51" s="14"/>
      <c r="E51" s="14"/>
      <c r="F51" s="14"/>
      <c r="G51" s="14"/>
      <c r="H51" s="14"/>
    </row>
    <row r="52" spans="1:8">
      <c r="A52" s="30" t="s">
        <v>148</v>
      </c>
      <c r="B52" s="26" t="str">
        <f>DEC2HEX(G25*256+G26)</f>
        <v>D2D</v>
      </c>
      <c r="C52" s="13"/>
      <c r="D52" s="14"/>
      <c r="E52" s="14"/>
      <c r="F52" s="14"/>
      <c r="G52" s="14"/>
      <c r="H52" s="14"/>
    </row>
    <row r="53" spans="1:8">
      <c r="A53" s="30" t="s">
        <v>149</v>
      </c>
      <c r="B53" s="70">
        <f>IF(E26 &lt; D26, 1, 0)</f>
        <v>0</v>
      </c>
      <c r="C53" s="14"/>
      <c r="D53" s="14"/>
      <c r="E53" s="14"/>
      <c r="F53" s="14"/>
      <c r="G53" s="14"/>
      <c r="H53" s="14"/>
    </row>
    <row r="54" spans="1:8">
      <c r="A54" s="14"/>
      <c r="B54" s="14"/>
      <c r="C54" s="14"/>
      <c r="D54" s="14"/>
      <c r="E54" s="14"/>
      <c r="F54" s="14"/>
      <c r="G54" s="14"/>
      <c r="H54" s="14"/>
    </row>
    <row r="55" spans="1:8">
      <c r="A55" s="14"/>
      <c r="B55" s="14"/>
      <c r="C55" s="14"/>
      <c r="D55" s="14"/>
      <c r="E55" s="14"/>
      <c r="F55" s="14"/>
      <c r="G55" s="14"/>
      <c r="H55" s="14"/>
    </row>
    <row r="56" spans="1:8">
      <c r="A56" s="14"/>
      <c r="B56" s="14"/>
      <c r="C56" s="14"/>
      <c r="D56" s="14"/>
      <c r="E56" s="14"/>
      <c r="F56" s="14"/>
      <c r="G56" s="14"/>
      <c r="H56" s="14"/>
    </row>
    <row r="57" spans="1:8">
      <c r="A57" s="14"/>
      <c r="B57" s="14"/>
      <c r="C57" s="14"/>
      <c r="D57" s="14"/>
      <c r="E57" s="14"/>
      <c r="F57" s="14"/>
      <c r="G57" s="14"/>
      <c r="H57" s="14"/>
    </row>
    <row r="58" spans="1:8">
      <c r="A58" s="14"/>
      <c r="B58" s="14"/>
      <c r="C58" s="14"/>
      <c r="D58" s="14"/>
      <c r="E58" s="15" t="s">
        <v>99</v>
      </c>
      <c r="F58" s="14">
        <v>50</v>
      </c>
      <c r="G58" s="14"/>
      <c r="H58" s="14"/>
    </row>
    <row r="59" spans="1:8">
      <c r="A59" s="14"/>
      <c r="B59" s="14"/>
      <c r="C59" s="14"/>
      <c r="D59" s="14"/>
      <c r="E59" s="15" t="s">
        <v>100</v>
      </c>
      <c r="F59" s="14">
        <v>50</v>
      </c>
      <c r="G59" s="14"/>
      <c r="H59" s="14"/>
    </row>
    <row r="60" spans="1:8">
      <c r="A60" s="14"/>
      <c r="B60" s="14"/>
      <c r="C60" s="14"/>
      <c r="D60" s="14"/>
      <c r="E60" s="15" t="s">
        <v>94</v>
      </c>
      <c r="F60" s="14">
        <v>10</v>
      </c>
      <c r="G60" s="14"/>
      <c r="H60" s="14"/>
    </row>
    <row r="61" spans="1:8">
      <c r="A61" s="14"/>
      <c r="B61" s="14"/>
      <c r="C61" s="14"/>
      <c r="D61" s="14"/>
      <c r="E61" s="15" t="s">
        <v>95</v>
      </c>
      <c r="F61" s="14">
        <v>30</v>
      </c>
      <c r="G61" s="14"/>
      <c r="H61" s="14"/>
    </row>
    <row r="62" spans="1:8">
      <c r="E62" s="15" t="s">
        <v>185</v>
      </c>
      <c r="F62" s="14">
        <v>10</v>
      </c>
    </row>
    <row r="63" spans="1:8">
      <c r="E63" s="15" t="s">
        <v>202</v>
      </c>
      <c r="F63" s="14">
        <v>2</v>
      </c>
    </row>
  </sheetData>
  <mergeCells count="3">
    <mergeCell ref="B8:C8"/>
    <mergeCell ref="D8:F8"/>
    <mergeCell ref="H8:H9"/>
  </mergeCells>
  <phoneticPr fontId="51" type="noConversion"/>
  <pageMargins left="0.7" right="0.7" top="0.75" bottom="0.75" header="0.3" footer="0.3"/>
  <pageSetup scale="53" fitToHeight="0" orientation="portrait" r:id="rId1"/>
  <headerFooter>
    <oddHeader>&amp;LDSI Timing Parameters</oddHeader>
    <oddFooter>&amp;C&amp;"Arial,Bold" MAY CONTAIN U.S. AND INTERNATIONAL EXPORT CONTROLLED INFORMATION&amp;R&amp;8&amp;P</oddFooter>
  </headerFooter>
</worksheet>
</file>

<file path=xl/worksheets/sheet7.xml><?xml version="1.0" encoding="utf-8"?>
<worksheet xmlns="http://schemas.openxmlformats.org/spreadsheetml/2006/main" xmlns:r="http://schemas.openxmlformats.org/officeDocument/2006/relationships">
  <sheetPr>
    <pageSetUpPr fitToPage="1"/>
  </sheetPr>
  <dimension ref="A1:C11"/>
  <sheetViews>
    <sheetView view="pageLayout" topLeftCell="A2" zoomScale="120" zoomScaleNormal="100" zoomScalePageLayoutView="120" workbookViewId="0">
      <selection activeCell="E12" sqref="E12"/>
    </sheetView>
  </sheetViews>
  <sheetFormatPr defaultRowHeight="12.75"/>
  <cols>
    <col min="1" max="1" width="91.140625" customWidth="1"/>
  </cols>
  <sheetData>
    <row r="1" spans="1:3" s="125" customFormat="1" ht="198" customHeight="1">
      <c r="A1" s="123" t="s">
        <v>213</v>
      </c>
      <c r="B1" s="124"/>
      <c r="C1" s="124"/>
    </row>
    <row r="2" spans="1:3" ht="182.25">
      <c r="A2" s="126" t="s">
        <v>214</v>
      </c>
      <c r="B2" s="119"/>
      <c r="C2" s="119"/>
    </row>
    <row r="3" spans="1:3">
      <c r="A3" s="119"/>
      <c r="B3" s="120"/>
      <c r="C3" s="121"/>
    </row>
    <row r="4" spans="1:3">
      <c r="A4" s="119"/>
      <c r="B4" s="120"/>
      <c r="C4" s="121"/>
    </row>
    <row r="5" spans="1:3">
      <c r="A5" s="119"/>
      <c r="B5" s="120"/>
      <c r="C5" s="121"/>
    </row>
    <row r="6" spans="1:3">
      <c r="A6" s="119"/>
      <c r="B6" s="120"/>
      <c r="C6" s="118"/>
    </row>
    <row r="7" spans="1:3">
      <c r="A7" s="119"/>
      <c r="B7" s="120"/>
      <c r="C7" s="118"/>
    </row>
    <row r="8" spans="1:3">
      <c r="A8" s="120"/>
      <c r="B8" s="118"/>
      <c r="C8" s="119"/>
    </row>
    <row r="9" spans="1:3">
      <c r="A9" s="120"/>
      <c r="B9" s="118"/>
      <c r="C9" s="119"/>
    </row>
    <row r="10" spans="1:3">
      <c r="A10" s="120"/>
      <c r="B10" s="118"/>
      <c r="C10" s="119"/>
    </row>
    <row r="11" spans="1:3">
      <c r="A11" s="122"/>
      <c r="B11" s="119"/>
      <c r="C11" s="119"/>
    </row>
  </sheetData>
  <phoneticPr fontId="51" type="noConversion"/>
  <pageMargins left="0.7" right="0.7" top="0.75" bottom="0.75" header="0.3" footer="0.3"/>
  <pageSetup fitToHeight="0" orientation="portrait" r:id="rId1"/>
  <headerFooter>
    <oddHeader>&amp;LDSI Timing Parameters</oddHeader>
    <oddFooter>&amp;C&amp;"Arial,Bold" MAY CONTAIN U.S. AND INTERNATIONAL EXPORT CONTROLLED INFORMATION&amp;R&amp;8&amp;P</oddFooter>
  </headerFooter>
</worksheet>
</file>

<file path=customUI/customUI14.xml><?xml version="1.0" encoding="utf-8"?>
<!--Revision history details in eRoom; -->
<customUI xmlns="http://schemas.microsoft.com/office/2009/07/customui">
  <ribbon>
    <tabs>
      <!-- Our tab -->
      <tab id="OurTab" label="DSI Timing Program" insertBeforeMso="TabHome">
        <!-- StartHereGroup -->
        <group id="Video" label="Video Parameters">
          <button id="VidParamBn" label="Check" imageMso="AcceptInvitation" description="Click to calulate video parameters based on entered values." onAction="Bttn_VidParamCheck" size="large"/>
        </group>
        <group id="clock" label="t_clk_zero">
          <button id="ResetBn" label="Reset" imageMso="InkDeleteAllInk" description="Click to reset t_clk_zero." onAction="Bttn_Reset" size="large"/>
          <button id="ValidateBn" label="Validate" imageMso="AcceptInvitation" description="Click to validate t_clk_zero." onAction="Bttn_Validate" size="lar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922E4C46EA4F4882D763E10F8CAF57" ma:contentTypeVersion="4" ma:contentTypeDescription="Create a new document." ma:contentTypeScope="" ma:versionID="8996392d3a2634a709fdbca383da4b41">
  <xsd:schema xmlns:xsd="http://www.w3.org/2001/XMLSchema" xmlns:xs="http://www.w3.org/2001/XMLSchema" xmlns:p="http://schemas.microsoft.com/office/2006/metadata/properties" xmlns:ns2="ba14b937-c967-4b7e-b597-83b12e40b8e1" xmlns:ns4="http://schemas.microsoft.com/sharepoint/v4" targetNamespace="http://schemas.microsoft.com/office/2006/metadata/properties" ma:root="true" ma:fieldsID="8651eea9efc2fe224c492910a0c5510a" ns2:_="" ns4:_="">
    <xsd:import namespace="ba14b937-c967-4b7e-b597-83b12e40b8e1"/>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14b937-c967-4b7e-b597-83b12e40b8e1"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3"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_dlc_DocId xmlns="ba14b937-c967-4b7e-b597-83b12e40b8e1">P4YWFRF2W333-146-12239</_dlc_DocId>
    <_dlc_DocIdUrl xmlns="ba14b937-c967-4b7e-b597-83b12e40b8e1">
      <Url>https://sharepoint.qualcomm.com/qis/Home/marketing/_layouts/15/DocIdRedir.aspx?ID=P4YWFRF2W333-146-12239</Url>
      <Description>P4YWFRF2W333-146-12239</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7524D50-07B6-4D55-A8EA-9AC792D3C2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14b937-c967-4b7e-b597-83b12e40b8e1"/>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CD0744E-BAEC-458D-98A4-E14F19E14518}">
  <ds:schemaRefs>
    <ds:schemaRef ds:uri="http://schemas.microsoft.com/office/2006/metadata/properties"/>
    <ds:schemaRef ds:uri="http://schemas.microsoft.com/office/infopath/2007/PartnerControls"/>
    <ds:schemaRef ds:uri="http://schemas.microsoft.com/sharepoint/v4"/>
    <ds:schemaRef ds:uri="ba14b937-c967-4b7e-b597-83b12e40b8e1"/>
  </ds:schemaRefs>
</ds:datastoreItem>
</file>

<file path=customXml/itemProps3.xml><?xml version="1.0" encoding="utf-8"?>
<ds:datastoreItem xmlns:ds="http://schemas.openxmlformats.org/officeDocument/2006/customXml" ds:itemID="{F3B69BBA-D7A4-4DAB-A35F-7CC98F16886B}">
  <ds:schemaRefs>
    <ds:schemaRef ds:uri="http://schemas.microsoft.com/sharepoint/events"/>
  </ds:schemaRefs>
</ds:datastoreItem>
</file>

<file path=customXml/itemProps4.xml><?xml version="1.0" encoding="utf-8"?>
<ds:datastoreItem xmlns:ds="http://schemas.openxmlformats.org/officeDocument/2006/customXml" ds:itemID="{B790A4DD-ABBA-445E-B29B-C6949E2653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命名范围</vt:lpstr>
      </vt:variant>
      <vt:variant>
        <vt:i4>7</vt:i4>
      </vt:variant>
    </vt:vector>
  </HeadingPairs>
  <TitlesOfParts>
    <vt:vector size="14" baseType="lpstr">
      <vt:lpstr>Cover</vt:lpstr>
      <vt:lpstr>Rev. History</vt:lpstr>
      <vt:lpstr>User Instructions</vt:lpstr>
      <vt:lpstr>DSI and MDP registers</vt:lpstr>
      <vt:lpstr>DSI PHY timing setting</vt:lpstr>
      <vt:lpstr>DSI PHY 2.0.0 timing setting</vt:lpstr>
      <vt:lpstr>Exhibit 1</vt:lpstr>
      <vt:lpstr>PHY_MAJOR_VERSION</vt:lpstr>
      <vt:lpstr>Cover!Print_Area</vt:lpstr>
      <vt:lpstr>'DSI and MDP registers'!Print_Area</vt:lpstr>
      <vt:lpstr>'DSI PHY 2.0.0 timing setting'!Print_Area</vt:lpstr>
      <vt:lpstr>'DSI PHY timing setting'!Print_Area</vt:lpstr>
      <vt:lpstr>'User Instructions'!Print_Area</vt:lpstr>
      <vt:lpstr>vRevisionDate</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2015-06-12T19:22:52Z</dcterms:created>
  <dcterms:modified xsi:type="dcterms:W3CDTF">2016-07-01T05:50:26Z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0x01010034922E4C46EA4F4882D763E10F8CAF57</vt:lpwstr>
  </property>
  <property fmtid="{D5CDD505-2E9C-101B-9397-08002B2CF9AE}" pid="3" name="_dlc_DocIdItemGuid">
    <vt:lpwstr>fca6d580-f44e-47ff-a8de-80f589a13fc8</vt:lpwstr>
  </property>
</Properties>
</file>